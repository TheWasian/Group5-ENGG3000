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d66f77982c4f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6a94f90d4a414a"/>
    <x:sheet xmlns:r="http://schemas.openxmlformats.org/officeDocument/2006/relationships" name="Source records" sheetId="2" r:id="R172caea49728450f"/>
    <x:sheet xmlns:r="http://schemas.openxmlformats.org/officeDocument/2006/relationships" name="Sampling" sheetId="3" r:id="R13e528aae26d45b1"/>
    <x:sheet xmlns:r="http://schemas.openxmlformats.org/officeDocument/2006/relationships" name="Latency" sheetId="4" r:id="Rba4a19e396fa4264"/>
    <x:sheet xmlns:r="http://schemas.openxmlformats.org/officeDocument/2006/relationships" name="Position" sheetId="5" r:id="Rc92ad77a2e9f41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"/>
    <x:numFmt numFmtId="201" formatCode="0"/>
    <x:numFmt numFmtId="202" formatCode="0.0%"/>
    <x:numFmt numFmtId="203" formatCode="0.00"/>
    <x:numFmt numFmtId="204" formatCode="0.00%"/>
  </x:numFmts>
  <x:fonts count="6">
    <x:font>
      <x:sz val="11"/>
      <x:name val="Carlito"/>
    </x:font>
    <x:font>
      <x:sz val="11"/>
      <x:color rgb="FF243247"/>
      <x:name val="Arial"/>
    </x:font>
    <x:font>
      <x:b/>
      <x:sz val="16"/>
      <x:color rgb="FF243247"/>
      <x:name val="Arial"/>
    </x:font>
    <x:font>
      <x:i/>
      <x:sz val="10"/>
      <x:color rgb="FF596579"/>
      <x:name val="Arial"/>
    </x:font>
    <x:font>
      <x:b/>
      <x:sz val="11"/>
      <x:color rgb="FFFFFFFF"/>
      <x:name val="Arial"/>
    </x:font>
    <x:font>
      <x:b/>
      <x:sz val="11"/>
      <x:color rgb="FF24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B70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4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c8287599764af7" /><Relationship Type="http://schemas.openxmlformats.org/officeDocument/2006/relationships/theme" Target="/xl/theme/theme1.xml" Id="Ra60224bb0c2f4909" /><Relationship Type="http://schemas.openxmlformats.org/officeDocument/2006/relationships/sharedStrings" Target="/xl/sharedStrings.xml" Id="Rb69af603d05d4096" /><Relationship Type="http://schemas.openxmlformats.org/officeDocument/2006/relationships/worksheet" Target="/xl/worksheets/sheet1.xml" Id="Rda6a94f90d4a414a" /><Relationship Type="http://schemas.openxmlformats.org/officeDocument/2006/relationships/worksheet" Target="/xl/worksheets/sheet2.xml" Id="R172caea49728450f" /><Relationship Type="http://schemas.openxmlformats.org/officeDocument/2006/relationships/worksheet" Target="/xl/worksheets/sheet3.xml" Id="R13e528aae26d45b1" /><Relationship Type="http://schemas.openxmlformats.org/officeDocument/2006/relationships/worksheet" Target="/xl/worksheets/sheet4.xml" Id="Rba4a19e396fa4264" /><Relationship Type="http://schemas.openxmlformats.org/officeDocument/2006/relationships/worksheet" Target="/xl/worksheets/sheet5.xml" Id="Rc92ad77a2e9f412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7e6fcc01db4dd0" /><Relationship Type="http://schemas.openxmlformats.org/officeDocument/2006/relationships/chart" Target="/xl/drawings/charts/chart2.xml" Id="R7b2f43dc2da9455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Synthetic mounting accuracy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30/30 cm accuracy</c:v>
          </c:tx>
          <c:marker>
            <c:symbol val="none"/>
          </c:marker>
          <c:cat>
            <c:strRef>
              <c:f>'Summary'!$A$5:$A$9</c:f>
              <c:strCache>
                <c:ptCount val="0"/>
              </c:strCache>
            </c:strRef>
          </c:cat>
          <c:val>
            <c:numRef>
              <c:f>'Summary'!$F$5:$F$9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35/35 cm accuracy</c:v>
          </c:tx>
          <c:marker>
            <c:symbol val="none"/>
          </c:marker>
          <c:cat>
            <c:strRef>
              <c:f>'Summary'!$A$5:$A$9</c:f>
              <c:strCache>
                <c:ptCount val="0"/>
              </c:strCache>
            </c:strRef>
          </c:cat>
          <c:val>
            <c:numRef>
              <c:f>'Summary'!$G$5:$G$9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Synthetic mean HTTP RTT (ms)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Mean HTTP RTT (ms)</c:v>
          </c:tx>
          <c:marker>
            <c:symbol val="none"/>
          </c:marker>
          <c:cat>
            <c:strRef>
              <c:f>'Summary'!$A$5:$A$9</c:f>
              <c:strCache>
                <c:ptCount val="0"/>
              </c:strCache>
            </c:strRef>
          </c:cat>
          <c:val>
            <c:numRef>
              <c:f>'Summary'!$D$5:$D$9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22</xdr:row>
      <xdr:rowOff>0</xdr:rowOff>
    </xdr:from>
    <xdr:to>
      <xdr:col>4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7e6fcc01db4dd0"/>
        </a:graphicData>
      </a:graphic>
    </xdr:graphicFrame>
    <xdr:clientData/>
  </xdr:twoCellAnchor>
  <xdr:twoCellAnchor>
    <xdr:from>
      <xdr:col>4</xdr:col>
      <xdr:colOff>0</xdr:colOff>
      <xdr:row>22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2f43dc2da9455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5" name="SyntheticSummary" displayName="SyntheticSummary" ref="A4:G9" headerRowCount="1" totalsRowCount="0" totalsRowShown="0">
  <x:tableColumns count="7">
    <x:tableColumn id="1" name="Scenario week"/>
    <x:tableColumn id="2" name="Acquired Hz/sensor"/>
    <x:tableColumn id="3" name="Valid Hz/sensor"/>
    <x:tableColumn id="4" name="Mean HTTP RTT (ms)"/>
    <x:tableColumn id="5" name="Max HTTP RTT (ms)"/>
    <x:tableColumn id="6" name="30/30 cm accuracy"/>
    <x:tableColumn id="7" name="35/35 cm accurac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SuppliedPosition" displayName="SuppliedPosition" ref="A5:G12" headerRowCount="1" totalsRowCount="0" totalsRowShown="0">
  <x:tableColumns count="7">
    <x:tableColumn id="1" name="Source row"/>
    <x:tableColumn id="2" name="Left mount (cm)"/>
    <x:tableColumn id="3" name="Right mount (cm)"/>
    <x:tableColumn id="4" name="Reported accuracy"/>
    <x:tableColumn id="5" name="Holes detected"/>
    <x:tableColumn id="6" name="Evidence type"/>
    <x:tableColumn id="7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SyntheticSampling" displayName="SyntheticSampling" ref="A4:K54" headerRowCount="1" totalsRowCount="0" totalsRowShown="0">
  <x:tableColumns count="11">
    <x:tableColumn id="1" name="Week"/>
    <x:tableColumn id="2" name="Sensor"/>
    <x:tableColumn id="3" name="Run"/>
    <x:tableColumn id="4" name="Duration (s)"/>
    <x:tableColumn id="5" name="Trigger gap (ms)"/>
    <x:tableColumn id="6" name="Alternating sensors"/>
    <x:tableColumn id="7" name="Acquired samples"/>
    <x:tableColumn id="8" name="Valid samples"/>
    <x:tableColumn id="9" name="Nominal Hz/sensor"/>
    <x:tableColumn id="10" name="Acquired Hz/sensor"/>
    <x:tableColumn id="11" name="Valid Hz/senso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SyntheticLatency" displayName="SyntheticLatency" ref="A4:G154" headerRowCount="1" totalsRowCount="0" totalsRowShown="0">
  <x:tableColumns count="7">
    <x:tableColumn id="1" name="Week"/>
    <x:tableColumn id="2" name="Request"/>
    <x:tableColumn id="3" name="Link"/>
    <x:tableColumn id="4" name="Browser poll (ms)"/>
    <x:tableColumn id="5" name="HTTP RTT (ms)"/>
    <x:tableColumn id="6" name="Scenario"/>
    <x:tableColumn id="7" name="Poll ceiling (Hz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SyntheticPosition" displayName="SyntheticPosition" ref="A4:K54" headerRowCount="1" totalsRowCount="0" totalsRowShown="0">
  <x:tableColumns count="11">
    <x:tableColumn id="1" name="Week"/>
    <x:tableColumn id="2" name="Run"/>
    <x:tableColumn id="3" name="Left mount (cm)"/>
    <x:tableColumn id="4" name="Right mount (cm)"/>
    <x:tableColumn id="5" name="Attempts"/>
    <x:tableColumn id="6" name="Correct"/>
    <x:tableColumn id="7" name="Wrong hole"/>
    <x:tableColumn id="8" name="Missed"/>
    <x:tableColumn id="9" name="Accuracy"/>
    <x:tableColumn id="10" name="Holes tested"/>
    <x:tableColumn id="11" name="Holes detect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5677d7575944f39" /><Relationship Type="http://schemas.openxmlformats.org/officeDocument/2006/relationships/table" Target="/xl/tables/table1.xml" Id="Re1c98f9d04b0438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42f10e6f94c4f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f34a936bec94f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e197c327bdb4f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a43e329ebf746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1" hidden="0" customWidth="1"/>
    <x:col min="3" max="3" width="21" hidden="0" customWidth="1"/>
    <x:col min="4" max="4" width="22" hidden="0" customWidth="1"/>
    <x:col min="5" max="5" width="22" hidden="0" customWidth="1"/>
    <x:col min="6" max="6" width="23" hidden="0" customWidth="1"/>
    <x:col min="7" max="7" width="23" hidden="0" customWidth="1"/>
  </x:cols>
  <x:sheetData>
    <x:row r="1" ht="23" customHeight="1">
      <x:c r="A1" s="2" t="str">
        <x:v>Week 5 to Week 9 demo data</x:v>
      </x:c>
      <x:c r="B1" s="1"/>
      <x:c r="C1" s="1"/>
      <x:c r="D1" s="1"/>
      <x:c r="E1" s="1"/>
      <x:c r="F1" s="1"/>
      <x:c r="G1" s="1"/>
    </x:row>
    <x:row r="2" ht="23" customHeight="1">
      <x:c r="A2" s="3" t="str">
        <x:v>SYNTHETIC scenario. Supplied records are preserved separately on Source records.</x:v>
      </x:c>
      <x:c r="B2" s="1"/>
      <x:c r="C2" s="1"/>
      <x:c r="D2" s="1"/>
      <x:c r="E2" s="1"/>
      <x:c r="F2" s="1"/>
      <x:c r="G2" s="1"/>
    </x:row>
    <x:row r="3" ht="23" customHeight="1">
      <x:c r="A3" s="1"/>
      <x:c r="B3" s="1"/>
      <x:c r="C3" s="1"/>
      <x:c r="D3" s="1"/>
      <x:c r="E3" s="1"/>
      <x:c r="F3" s="1"/>
      <x:c r="G3" s="1"/>
    </x:row>
    <x:row r="4" ht="38" customHeight="1">
      <x:c r="A4" s="6" t="str">
        <x:v>Scenario week</x:v>
      </x:c>
      <x:c r="B4" s="6" t="str">
        <x:v>Acquired Hz/sensor</x:v>
      </x:c>
      <x:c r="C4" s="6" t="str">
        <x:v>Valid Hz/sensor</x:v>
      </x:c>
      <x:c r="D4" s="6" t="str">
        <x:v>Mean HTTP RTT (ms)</x:v>
      </x:c>
      <x:c r="E4" s="6" t="str">
        <x:v>Max HTTP RTT (ms)</x:v>
      </x:c>
      <x:c r="F4" s="6" t="str">
        <x:v>30/30 cm accuracy</x:v>
      </x:c>
      <x:c r="G4" s="6" t="str">
        <x:v>35/35 cm accuracy</x:v>
      </x:c>
    </x:row>
    <x:row r="5" ht="23" customHeight="1">
      <x:c r="A5" s="7" t="str">
        <x:v>Week 5</x:v>
      </x:c>
      <x:c r="B5" s="12" t="n">
        <x:f>AVERAGE('Sampling'!J5:J14)</x:f>
        <x:v>10.928333333333335</x:v>
      </x:c>
      <x:c r="C5" s="12" t="n">
        <x:f>AVERAGE('Sampling'!K5:K14)</x:f>
        <x:v>9.201666666666668</x:v>
      </x:c>
      <x:c r="D5" s="7" t="n">
        <x:f>AVERAGE('Latency'!E5:E34)</x:f>
        <x:v>30.01</x:v>
      </x:c>
      <x:c r="E5" s="7" t="n">
        <x:f>MAX('Latency'!E5:E34)</x:f>
        <x:v>58.4</x:v>
      </x:c>
      <x:c r="F5" s="9" t="n">
        <x:f>SUM('Position'!F5:F9)/SUM('Position'!E5:E9)</x:f>
        <x:v>0.806</x:v>
      </x:c>
      <x:c r="G5" s="9" t="n">
        <x:f>SUM('Position'!F10:F14)/SUM('Position'!E10:E14)</x:f>
        <x:v>0.776</x:v>
      </x:c>
    </x:row>
    <x:row r="6" ht="23" customHeight="1">
      <x:c r="A6" s="7" t="str">
        <x:v>Week 6</x:v>
      </x:c>
      <x:c r="B6" s="12" t="n">
        <x:f>AVERAGE('Sampling'!J15:J24)</x:f>
        <x:v>10.933333333333334</x:v>
      </x:c>
      <x:c r="C6" s="12" t="n">
        <x:f>AVERAGE('Sampling'!K15:K24)</x:f>
        <x:v>9.768333333333334</x:v>
      </x:c>
      <x:c r="D6" s="7" t="n">
        <x:f>AVERAGE('Latency'!E35:E64)</x:f>
        <x:v>26.56333333333334</x:v>
      </x:c>
      <x:c r="E6" s="7" t="n">
        <x:f>MAX('Latency'!E35:E64)</x:f>
        <x:v>67</x:v>
      </x:c>
      <x:c r="F6" s="9" t="n">
        <x:f>SUM('Position'!F15:F19)/SUM('Position'!E15:E19)</x:f>
        <x:v>0.874</x:v>
      </x:c>
      <x:c r="G6" s="9" t="n">
        <x:f>SUM('Position'!F20:F24)/SUM('Position'!E20:E24)</x:f>
        <x:v>0.796</x:v>
      </x:c>
    </x:row>
    <x:row r="7" ht="23" customHeight="1">
      <x:c r="A7" s="7" t="str">
        <x:v>Week 7</x:v>
      </x:c>
      <x:c r="B7" s="12" t="n">
        <x:f>AVERAGE('Sampling'!J25:J34)</x:f>
        <x:v>10.933333333333334</x:v>
      </x:c>
      <x:c r="C7" s="12" t="n">
        <x:f>AVERAGE('Sampling'!K25:K34)</x:f>
        <x:v>9.941666666666666</x:v>
      </x:c>
      <x:c r="D7" s="7" t="n">
        <x:f>AVERAGE('Latency'!E65:E94)</x:f>
        <x:v>29.11</x:v>
      </x:c>
      <x:c r="E7" s="7" t="n">
        <x:f>MAX('Latency'!E65:E94)</x:f>
        <x:v>84</x:v>
      </x:c>
      <x:c r="F7" s="9" t="n">
        <x:f>SUM('Position'!F25:F29)/SUM('Position'!E25:E29)</x:f>
        <x:v>0.922</x:v>
      </x:c>
      <x:c r="G7" s="9" t="n">
        <x:f>SUM('Position'!F30:F34)/SUM('Position'!E30:E34)</x:f>
        <x:v>0.854</x:v>
      </x:c>
    </x:row>
    <x:row r="8" ht="23" customHeight="1">
      <x:c r="A8" s="7" t="str">
        <x:v>Week 8</x:v>
      </x:c>
      <x:c r="B8" s="12" t="n">
        <x:f>AVERAGE('Sampling'!J35:J44)</x:f>
        <x:v>10.935</x:v>
      </x:c>
      <x:c r="C8" s="12" t="n">
        <x:f>AVERAGE('Sampling'!K35:K44)</x:f>
        <x:v>10.326666666666668</x:v>
      </x:c>
      <x:c r="D8" s="7" t="n">
        <x:f>AVERAGE('Latency'!E95:E124)</x:f>
        <x:v>23.929999999999996</x:v>
      </x:c>
      <x:c r="E8" s="7" t="n">
        <x:f>MAX('Latency'!E95:E124)</x:f>
        <x:v>60.3</x:v>
      </x:c>
      <x:c r="F8" s="9" t="n">
        <x:f>SUM('Position'!F35:F39)/SUM('Position'!E35:E39)</x:f>
        <x:v>0.934</x:v>
      </x:c>
      <x:c r="G8" s="9" t="n">
        <x:f>SUM('Position'!F40:F44)/SUM('Position'!E40:E44)</x:f>
        <x:v>0.886</x:v>
      </x:c>
    </x:row>
    <x:row r="9" ht="23" customHeight="1">
      <x:c r="A9" s="7" t="str">
        <x:v>Week 9</x:v>
      </x:c>
      <x:c r="B9" s="12" t="n">
        <x:f>AVERAGE('Sampling'!J45:J54)</x:f>
        <x:v>10.95</x:v>
      </x:c>
      <x:c r="C9" s="12" t="n">
        <x:f>AVERAGE('Sampling'!K45:K54)</x:f>
        <x:v>10.6</x:v>
      </x:c>
      <x:c r="D9" s="7" t="n">
        <x:f>AVERAGE('Latency'!E125:E154)</x:f>
        <x:v>21.013333333333332</x:v>
      </x:c>
      <x:c r="E9" s="7" t="n">
        <x:f>MAX('Latency'!E125:E154)</x:f>
        <x:v>61.7</x:v>
      </x:c>
      <x:c r="F9" s="9" t="n">
        <x:f>SUM('Position'!F45:F49)/SUM('Position'!E45:E49)</x:f>
        <x:v>0.97</x:v>
      </x:c>
      <x:c r="G9" s="9" t="n">
        <x:f>SUM('Position'!F50:F54)/SUM('Position'!E50:E54)</x:f>
        <x:v>0.92</x:v>
      </x:c>
    </x:row>
    <x:row r="10" ht="23" customHeight="1">
      <x:c r="A10" s="1"/>
      <x:c r="B10" s="1"/>
      <x:c r="C10" s="1"/>
      <x:c r="D10" s="1"/>
      <x:c r="E10" s="1"/>
      <x:c r="F10" s="1"/>
      <x:c r="G10" s="1"/>
    </x:row>
    <x:row r="11" ht="23" customHeight="1">
      <x:c r="A11" s="1" t="str">
        <x:v>Supplied mounting results (week unspecified)</x:v>
      </x:c>
      <x:c r="B11" s="1"/>
      <x:c r="C11" s="1"/>
      <x:c r="D11" s="1"/>
      <x:c r="E11" s="1"/>
      <x:c r="F11" s="1"/>
      <x:c r="G11" s="1"/>
    </x:row>
    <x:row r="12" ht="23" customHeight="1">
      <x:c r="A12" s="1" t="str">
        <x:v>Setup</x:v>
      </x:c>
      <x:c r="B12" s="1" t="str">
        <x:v>Trials</x:v>
      </x:c>
      <x:c r="C12" s="1" t="str">
        <x:v>Mean accuracy</x:v>
      </x:c>
      <x:c r="D12" s="1" t="str">
        <x:v>Mean holes detected</x:v>
      </x:c>
      <x:c r="E12" s="1"/>
      <x:c r="F12" s="1"/>
      <x:c r="G12" s="1"/>
    </x:row>
    <x:row r="13" ht="23" customHeight="1">
      <x:c r="A13" s="1" t="str">
        <x:v>30/30 cm</x:v>
      </x:c>
      <x:c r="B13" s="1" t="n">
        <x:v>4</x:v>
      </x:c>
      <x:c r="C13" s="13" t="n">
        <x:f>AVERAGE('Source records'!D6:D9)</x:f>
        <x:v>0.8275</x:v>
      </x:c>
      <x:c r="D13" s="12" t="n">
        <x:f>AVERAGE('Source records'!E6:E9)</x:f>
        <x:v>5.5</x:v>
      </x:c>
      <x:c r="E13" s="1"/>
      <x:c r="F13" s="1"/>
      <x:c r="G13" s="1"/>
    </x:row>
    <x:row r="14" ht="23" customHeight="1">
      <x:c r="A14" s="1" t="str">
        <x:v>35/35 cm</x:v>
      </x:c>
      <x:c r="B14" s="1" t="n">
        <x:v>3</x:v>
      </x:c>
      <x:c r="C14" s="13" t="n">
        <x:f>AVERAGE('Source records'!D10:D12)</x:f>
        <x:v>0.7766666666666667</x:v>
      </x:c>
      <x:c r="D14" s="12" t="n">
        <x:f>AVERAGE('Source records'!E10:E12)</x:f>
        <x:v>4.666666666666667</x:v>
      </x:c>
      <x:c r="E14" s="1"/>
      <x:c r="F14" s="1"/>
      <x:c r="G14" s="1"/>
    </x:row>
    <x:row r="15" ht="23" customHeight="1">
      <x:c r="A15" s="1"/>
      <x:c r="B15" s="1"/>
      <x:c r="C15" s="1"/>
      <x:c r="D15" s="1"/>
      <x:c r="E15" s="1"/>
      <x:c r="F15" s="1"/>
      <x:c r="G15" s="1"/>
    </x:row>
    <x:row r="16" ht="23" customHeight="1">
      <x:c r="A16" s="1" t="str">
        <x:v>30/30 cm performs better in the seven supplied records; the small dataset does not establish an optimum.</x:v>
      </x:c>
      <x:c r="B16" s="1"/>
      <x:c r="C16" s="1"/>
      <x:c r="D16" s="1"/>
      <x:c r="E16" s="1"/>
      <x:c r="F16" s="1"/>
      <x:c r="G16" s="1"/>
    </x:row>
    <x:row r="17" ht="23" customHeight="1">
      <x:c r="A17" s="1" t="str">
        <x:v>Synthetic accuracy measures hole classification, not coordinate error in centimetres.</x:v>
      </x:c>
      <x:c r="B17" s="1"/>
      <x:c r="C17" s="1"/>
      <x:c r="D17" s="1"/>
      <x:c r="E17" s="1"/>
      <x:c r="F17" s="1"/>
      <x:c r="G17" s="1"/>
    </x:row>
    <x:row r="18" ht="23" customHeight="1">
      <x:c r="A18" s="1" t="str">
        <x:v>Week 5 numerical trials are simulated too. The PDF baseline consists of Week 4 qualitative tests and timing settings.</x:v>
      </x:c>
      <x:c r="B18" s="1"/>
      <x:c r="C18" s="1"/>
      <x:c r="D18" s="1"/>
      <x:c r="E18" s="1"/>
      <x:c r="F18" s="1"/>
      <x:c r="G18" s="1"/>
    </x:row>
    <x:row r="19" ht="23" customHeight="1">
      <x:c r="A19" s="1" t="str">
        <x:v>Polling changes from 75 ms to the documented 100 ms candidate in the scenario. Lower RTT does not prove faster gameplay.</x:v>
      </x:c>
      <x:c r="B19" s="1"/>
      <x:c r="C19" s="1"/>
      <x:c r="D19" s="1"/>
      <x:c r="E19" s="1"/>
      <x:c r="F19" s="1"/>
      <x:c r="G19" s="1"/>
    </x:row>
    <x:row r="20" ht="23" customHeight="1">
      <x:c r="A20" s="1" t="str">
        <x:v>Additional ESP32-node latency and motion-to-screen latency require separate measurements.</x:v>
      </x:c>
      <x:c r="B20" s="1"/>
      <x:c r="C20" s="1"/>
      <x:c r="D20" s="1"/>
      <x:c r="E20" s="1"/>
      <x:c r="F20" s="1"/>
      <x:c r="G20" s="1"/>
    </x:row>
    <x:row r="21" ht="23" customHeight="1">
      <x:c r="A21" s="1"/>
      <x:c r="B21" s="1"/>
      <x:c r="C21" s="1"/>
      <x:c r="D21" s="1"/>
      <x:c r="E21" s="1"/>
      <x:c r="F21" s="1"/>
      <x:c r="G21" s="1"/>
    </x:row>
    <x:row r="22" ht="23" customHeight="1">
      <x:c r="A22" s="1"/>
      <x:c r="B22" s="1"/>
      <x:c r="C22" s="1"/>
      <x:c r="D22" s="1"/>
      <x:c r="E22" s="1"/>
      <x:c r="F22" s="1"/>
      <x:c r="G22" s="1"/>
    </x:row>
    <x:row r="23" ht="23" customHeight="1">
      <x:c r="A23" s="1"/>
      <x:c r="B23" s="1"/>
      <x:c r="C23" s="1"/>
      <x:c r="D23" s="1"/>
      <x:c r="E23" s="1"/>
      <x:c r="F23" s="1"/>
      <x:c r="G23" s="1"/>
    </x:row>
    <x:row r="24" ht="23" customHeight="1">
      <x:c r="A24" s="1"/>
      <x:c r="B24" s="1"/>
      <x:c r="C24" s="1"/>
      <x:c r="D24" s="1"/>
      <x:c r="E24" s="1"/>
      <x:c r="F24" s="1"/>
      <x:c r="G24" s="1"/>
    </x:row>
    <x:row r="25" ht="23" customHeight="1">
      <x:c r="A25" s="1"/>
      <x:c r="B25" s="1"/>
      <x:c r="C25" s="1"/>
      <x:c r="D25" s="1"/>
      <x:c r="E25" s="1"/>
      <x:c r="F25" s="1"/>
      <x:c r="G25" s="1"/>
    </x:row>
    <x:row r="26" ht="23" customHeight="1">
      <x:c r="A26" s="1"/>
      <x:c r="B26" s="1"/>
      <x:c r="C26" s="1"/>
      <x:c r="D26" s="1"/>
      <x:c r="E26" s="1"/>
      <x:c r="F26" s="1"/>
      <x:c r="G26" s="1"/>
    </x:row>
    <x:row r="27" ht="23" customHeight="1">
      <x:c r="A27" s="1"/>
      <x:c r="B27" s="1"/>
      <x:c r="C27" s="1"/>
      <x:c r="D27" s="1"/>
      <x:c r="E27" s="1"/>
      <x:c r="F27" s="1"/>
      <x:c r="G27" s="1"/>
    </x:row>
    <x:row r="28" ht="23" customHeight="1">
      <x:c r="A28" s="1"/>
      <x:c r="B28" s="1"/>
      <x:c r="C28" s="1"/>
      <x:c r="D28" s="1"/>
      <x:c r="E28" s="1"/>
      <x:c r="F28" s="1"/>
      <x:c r="G28" s="1"/>
    </x:row>
    <x:row r="29" ht="23" customHeight="1">
      <x:c r="A29" s="1"/>
      <x:c r="B29" s="1"/>
      <x:c r="C29" s="1"/>
      <x:c r="D29" s="1"/>
      <x:c r="E29" s="1"/>
      <x:c r="F29" s="1"/>
      <x:c r="G29" s="1"/>
    </x:row>
    <x:row r="30" ht="23" customHeight="1">
      <x:c r="A30" s="1"/>
      <x:c r="B30" s="1"/>
      <x:c r="C30" s="1"/>
      <x:c r="D30" s="1"/>
      <x:c r="E30" s="1"/>
      <x:c r="F30" s="1"/>
      <x:c r="G30" s="1"/>
    </x:row>
    <x:row r="31" ht="23" customHeight="1">
      <x:c r="A31" s="1"/>
      <x:c r="B31" s="1"/>
      <x:c r="C31" s="1"/>
      <x:c r="D31" s="1"/>
      <x:c r="E31" s="1"/>
      <x:c r="F31" s="1"/>
      <x:c r="G31" s="1"/>
    </x:row>
    <x:row r="32" ht="23" customHeight="1">
      <x:c r="A32" s="1"/>
      <x:c r="B32" s="1"/>
      <x:c r="C32" s="1"/>
      <x:c r="D32" s="1"/>
      <x:c r="E32" s="1"/>
      <x:c r="F32" s="1"/>
      <x:c r="G32" s="1"/>
    </x:row>
    <x:row r="33" ht="23" customHeight="1">
      <x:c r="A33" s="1"/>
      <x:c r="B33" s="1"/>
      <x:c r="C33" s="1"/>
      <x:c r="D33" s="1"/>
      <x:c r="E33" s="1"/>
      <x:c r="F33" s="1"/>
      <x:c r="G33" s="1"/>
    </x:row>
    <x:row r="34" ht="23" customHeight="1">
      <x:c r="A34" s="1"/>
      <x:c r="B34" s="1"/>
      <x:c r="C34" s="1"/>
      <x:c r="D34" s="1"/>
      <x:c r="E34" s="1"/>
      <x:c r="F34" s="1"/>
      <x:c r="G34" s="1"/>
    </x:row>
    <x:row r="35" ht="23" customHeight="1">
      <x:c r="A35" s="1"/>
      <x:c r="B35" s="1"/>
      <x:c r="C35" s="1"/>
      <x:c r="D35" s="1"/>
      <x:c r="E35" s="1"/>
      <x:c r="F35" s="1"/>
      <x:c r="G35" s="1"/>
    </x:row>
    <x:row r="36" ht="23" customHeight="1">
      <x:c r="A36" s="1"/>
      <x:c r="B36" s="1"/>
      <x:c r="C36" s="1"/>
      <x:c r="D36" s="1"/>
      <x:c r="E36" s="1"/>
      <x:c r="F36" s="1"/>
      <x:c r="G36" s="1"/>
    </x:row>
    <x:row r="37" ht="23" customHeight="1">
      <x:c r="A37" s="1"/>
      <x:c r="B37" s="1"/>
      <x:c r="C37" s="1"/>
      <x:c r="D37" s="1"/>
      <x:c r="E37" s="1"/>
      <x:c r="F37" s="1"/>
      <x:c r="G37" s="1"/>
    </x:row>
    <x:row r="38" ht="23" customHeight="1">
      <x:c r="A38" s="1"/>
      <x:c r="B38" s="1"/>
      <x:c r="C38" s="1"/>
      <x:c r="D38" s="1"/>
      <x:c r="E38" s="1"/>
      <x:c r="F38" s="1"/>
      <x:c r="G38" s="1"/>
    </x:row>
    <x:row r="39" ht="23" customHeight="1">
      <x:c r="A39" s="1"/>
      <x:c r="B39" s="1"/>
      <x:c r="C39" s="1"/>
      <x:c r="D39" s="1"/>
      <x:c r="E39" s="1"/>
      <x:c r="F39" s="1"/>
      <x:c r="G39" s="1"/>
    </x:row>
    <x:row r="40" ht="23" customHeight="1">
      <x:c r="A40" s="1"/>
      <x:c r="B40" s="1"/>
      <x:c r="C40" s="1"/>
      <x:c r="D40" s="1"/>
      <x:c r="E40" s="1"/>
      <x:c r="F40" s="1"/>
      <x:c r="G40" s="1"/>
    </x:row>
    <x:row r="41" ht="23" customHeight="1">
      <x:c r="A41" s="1"/>
      <x:c r="B41" s="1"/>
      <x:c r="C41" s="1"/>
      <x:c r="D41" s="1"/>
      <x:c r="E41" s="1"/>
      <x:c r="F41" s="1"/>
      <x:c r="G41" s="1"/>
    </x:row>
    <x:row r="42" ht="23" customHeight="1">
      <x:c r="A42" s="1"/>
      <x:c r="B42" s="1"/>
      <x:c r="C42" s="1"/>
      <x:c r="D42" s="1"/>
      <x:c r="E42" s="1"/>
      <x:c r="F42" s="1"/>
      <x:c r="G42" s="1"/>
    </x:row>
    <x:row r="43" ht="23" customHeight="1">
      <x:c r="A43" s="1"/>
      <x:c r="B43" s="1"/>
      <x:c r="C43" s="1"/>
      <x:c r="D43" s="1"/>
      <x:c r="E43" s="1"/>
      <x:c r="F43" s="1"/>
      <x:c r="G43" s="1"/>
    </x:row>
    <x:row r="44" ht="23" customHeight="1">
      <x:c r="A44" s="1"/>
      <x:c r="B44" s="1"/>
      <x:c r="C44" s="1"/>
      <x:c r="D44" s="1"/>
      <x:c r="E44" s="1"/>
      <x:c r="F44" s="1"/>
      <x:c r="G44" s="1"/>
    </x:row>
    <x:row r="45" ht="23" customHeight="1">
      <x:c r="A45" s="1"/>
      <x:c r="B45" s="1"/>
      <x:c r="C45" s="1"/>
      <x:c r="D45" s="1"/>
      <x:c r="E45" s="1"/>
      <x:c r="F45" s="1"/>
      <x:c r="G45" s="1"/>
    </x:row>
  </x:sheetData>
  <x:pageMargins left="0.7" right="0.7" top="0.75" bottom="0.75" header="0.3" footer="0.3"/>
  <x:drawing xmlns:r="http://schemas.openxmlformats.org/officeDocument/2006/relationships" r:id="R25677d7575944f39"/>
  <x:tableParts count="1">
    <x:tablePart xmlns:r="http://schemas.openxmlformats.org/officeDocument/2006/relationships" r:id="Re1c98f9d04b0438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26" hidden="0" customWidth="1"/>
    <x:col min="3" max="3" width="21" hidden="0" customWidth="1"/>
    <x:col min="4" max="4" width="23" hidden="0" customWidth="1"/>
    <x:col min="5" max="5" width="27" hidden="0" customWidth="1"/>
    <x:col min="6" max="6" width="35" hidden="0" customWidth="1"/>
    <x:col min="7" max="7" width="34" hidden="0" customWidth="1"/>
  </x:cols>
  <x:sheetData>
    <x:row r="1" ht="23" customHeight="1">
      <x:c r="A1" s="2" t="str">
        <x:v>Supplied records and modelling assumptions</x:v>
      </x:c>
      <x:c r="B1" s="1"/>
      <x:c r="C1" s="1"/>
      <x:c r="D1" s="1"/>
      <x:c r="E1" s="1"/>
      <x:c r="F1" s="1"/>
      <x:c r="G1" s="1"/>
    </x:row>
    <x:row r="2" ht="23" customHeight="1">
      <x:c r="A2" s="3" t="str">
        <x:v>Source values are transcribed; simulated records are kept on separate tabs.</x:v>
      </x:c>
      <x:c r="B2" s="1"/>
      <x:c r="C2" s="1"/>
      <x:c r="D2" s="1"/>
      <x:c r="E2" s="1"/>
      <x:c r="F2" s="1"/>
      <x:c r="G2" s="1"/>
    </x:row>
    <x:row r="3" ht="23" customHeight="1">
      <x:c r="A3" s="1"/>
      <x:c r="B3" s="1"/>
      <x:c r="C3" s="1"/>
      <x:c r="D3" s="1"/>
      <x:c r="E3" s="1"/>
      <x:c r="F3" s="1"/>
      <x:c r="G3" s="1"/>
    </x:row>
    <x:row r="4" ht="23" customHeight="1">
      <x:c r="A4" s="1" t="str">
        <x:v>Book2.xlsx - Sheet1!A1:D8. Test week and accuracy denominator were not supplied.</x:v>
      </x:c>
      <x:c r="B4" s="1"/>
      <x:c r="C4" s="1"/>
      <x:c r="D4" s="1"/>
      <x:c r="E4" s="1"/>
      <x:c r="F4" s="1"/>
      <x:c r="G4" s="1"/>
    </x:row>
    <x:row r="5" ht="38" customHeight="1">
      <x:c r="A5" s="6" t="str">
        <x:v>Source row</x:v>
      </x:c>
      <x:c r="B5" s="6" t="str">
        <x:v>Left mount (cm)</x:v>
      </x:c>
      <x:c r="C5" s="6" t="str">
        <x:v>Right mount (cm)</x:v>
      </x:c>
      <x:c r="D5" s="6" t="str">
        <x:v>Reported accuracy</x:v>
      </x:c>
      <x:c r="E5" s="6" t="str">
        <x:v>Holes detected</x:v>
      </x:c>
      <x:c r="F5" s="6" t="str">
        <x:v>Evidence type</x:v>
      </x:c>
      <x:c r="G5" s="6" t="str">
        <x:v>Source</x:v>
      </x:c>
    </x:row>
    <x:row r="6" ht="23" customHeight="1">
      <x:c r="A6" s="8" t="n">
        <x:v>2</x:v>
      </x:c>
      <x:c r="B6" s="8" t="n">
        <x:v>30</x:v>
      </x:c>
      <x:c r="C6" s="8" t="n">
        <x:v>30</x:v>
      </x:c>
      <x:c r="D6" s="9" t="n">
        <x:v>0.85</x:v>
      </x:c>
      <x:c r="E6" s="8" t="n">
        <x:v>6</x:v>
      </x:c>
      <x:c r="F6" s="7" t="str">
        <x:v>User-supplied</x:v>
      </x:c>
      <x:c r="G6" s="7" t="str">
        <x:v>Book2.xlsx, Sheet1 row 2</x:v>
      </x:c>
    </x:row>
    <x:row r="7" ht="23" customHeight="1">
      <x:c r="A7" s="8" t="n">
        <x:v>3</x:v>
      </x:c>
      <x:c r="B7" s="8" t="n">
        <x:v>30</x:v>
      </x:c>
      <x:c r="C7" s="8" t="n">
        <x:v>30</x:v>
      </x:c>
      <x:c r="D7" s="9" t="n">
        <x:v>0.84</x:v>
      </x:c>
      <x:c r="E7" s="8" t="n">
        <x:v>6</x:v>
      </x:c>
      <x:c r="F7" s="7" t="str">
        <x:v>User-supplied</x:v>
      </x:c>
      <x:c r="G7" s="7" t="str">
        <x:v>Book2.xlsx, Sheet1 row 3</x:v>
      </x:c>
    </x:row>
    <x:row r="8" ht="23" customHeight="1">
      <x:c r="A8" s="8" t="n">
        <x:v>4</x:v>
      </x:c>
      <x:c r="B8" s="8" t="n">
        <x:v>30</x:v>
      </x:c>
      <x:c r="C8" s="8" t="n">
        <x:v>30</x:v>
      </x:c>
      <x:c r="D8" s="9" t="n">
        <x:v>0.8</x:v>
      </x:c>
      <x:c r="E8" s="8" t="n">
        <x:v>5</x:v>
      </x:c>
      <x:c r="F8" s="7" t="str">
        <x:v>User-supplied</x:v>
      </x:c>
      <x:c r="G8" s="7" t="str">
        <x:v>Book2.xlsx, Sheet1 row 4</x:v>
      </x:c>
    </x:row>
    <x:row r="9" ht="23" customHeight="1">
      <x:c r="A9" s="8" t="n">
        <x:v>5</x:v>
      </x:c>
      <x:c r="B9" s="8" t="n">
        <x:v>30</x:v>
      </x:c>
      <x:c r="C9" s="8" t="n">
        <x:v>30</x:v>
      </x:c>
      <x:c r="D9" s="9" t="n">
        <x:v>0.82</x:v>
      </x:c>
      <x:c r="E9" s="8" t="n">
        <x:v>5</x:v>
      </x:c>
      <x:c r="F9" s="7" t="str">
        <x:v>User-supplied</x:v>
      </x:c>
      <x:c r="G9" s="7" t="str">
        <x:v>Book2.xlsx, Sheet1 row 5</x:v>
      </x:c>
    </x:row>
    <x:row r="10" ht="23" customHeight="1">
      <x:c r="A10" s="8" t="n">
        <x:v>6</x:v>
      </x:c>
      <x:c r="B10" s="8" t="n">
        <x:v>35</x:v>
      </x:c>
      <x:c r="C10" s="8" t="n">
        <x:v>35</x:v>
      </x:c>
      <x:c r="D10" s="9" t="n">
        <x:v>0.78</x:v>
      </x:c>
      <x:c r="E10" s="8" t="n">
        <x:v>4</x:v>
      </x:c>
      <x:c r="F10" s="7" t="str">
        <x:v>User-supplied</x:v>
      </x:c>
      <x:c r="G10" s="7" t="str">
        <x:v>Book2.xlsx, Sheet1 row 6</x:v>
      </x:c>
    </x:row>
    <x:row r="11" ht="23" customHeight="1">
      <x:c r="A11" s="8" t="n">
        <x:v>7</x:v>
      </x:c>
      <x:c r="B11" s="8" t="n">
        <x:v>35</x:v>
      </x:c>
      <x:c r="C11" s="8" t="n">
        <x:v>35</x:v>
      </x:c>
      <x:c r="D11" s="9" t="n">
        <x:v>0.75</x:v>
      </x:c>
      <x:c r="E11" s="8" t="n">
        <x:v>4</x:v>
      </x:c>
      <x:c r="F11" s="7" t="str">
        <x:v>User-supplied</x:v>
      </x:c>
      <x:c r="G11" s="7" t="str">
        <x:v>Book2.xlsx, Sheet1 row 7</x:v>
      </x:c>
    </x:row>
    <x:row r="12" ht="23" customHeight="1">
      <x:c r="A12" s="8" t="n">
        <x:v>8</x:v>
      </x:c>
      <x:c r="B12" s="8" t="n">
        <x:v>35</x:v>
      </x:c>
      <x:c r="C12" s="8" t="n">
        <x:v>35</x:v>
      </x:c>
      <x:c r="D12" s="9" t="n">
        <x:v>0.8</x:v>
      </x:c>
      <x:c r="E12" s="8" t="n">
        <x:v>6</x:v>
      </x:c>
      <x:c r="F12" s="7" t="str">
        <x:v>User-supplied</x:v>
      </x:c>
      <x:c r="G12" s="7" t="str">
        <x:v>Book2.xlsx, Sheet1 row 8</x:v>
      </x:c>
    </x:row>
    <x:row r="13" ht="23" customHeight="1">
      <x:c r="A13" s="1"/>
      <x:c r="B13" s="1"/>
      <x:c r="C13" s="1"/>
      <x:c r="D13" s="1"/>
      <x:c r="E13" s="1"/>
      <x:c r="F13" s="1"/>
      <x:c r="G13" s="1"/>
    </x:row>
    <x:row r="14" ht="23" customHeight="1">
      <x:c r="A14" s="1"/>
      <x:c r="B14" s="1"/>
      <x:c r="C14" s="1"/>
      <x:c r="D14" s="1"/>
      <x:c r="E14" s="1"/>
      <x:c r="F14" s="1"/>
      <x:c r="G14" s="1"/>
    </x:row>
    <x:row r="15" ht="23" customHeight="1">
      <x:c r="A15" s="1" t="str">
        <x:v>Traceability PDF - documented baseline (Week 4 tests used as Week 5 context)</x:v>
      </x:c>
      <x:c r="B15" s="1"/>
      <x:c r="C15" s="1"/>
      <x:c r="D15" s="1"/>
      <x:c r="E15" s="1"/>
      <x:c r="F15" s="1"/>
      <x:c r="G15" s="1"/>
    </x:row>
    <x:row r="16" ht="34" customHeight="1">
      <x:c r="A16" s="11" t="str">
        <x:v>Source file</x:v>
      </x:c>
      <x:c r="B16" s="1" t="str">
        <x:v>engg3000_Traceability_MatthewThompson48234559 (2).pdf</x:v>
      </x:c>
      <x:c r="C16" s="1"/>
      <x:c r="D16" s="1"/>
      <x:c r="E16" s="1"/>
      <x:c r="F16" s="1"/>
      <x:c r="G16" s="1"/>
    </x:row>
    <x:row r="17" ht="34" customHeight="1">
      <x:c r="A17" s="11" t="str">
        <x:v>Sensor timing</x:v>
      </x:c>
      <x:c r="B17" s="1" t="str">
        <x:v>p. 8: alternate sensor triggers every 45 ms; two lanes imply 90 ms per sensor.</x:v>
      </x:c>
      <x:c r="C17" s="1"/>
      <x:c r="D17" s="1"/>
      <x:c r="E17" s="1"/>
      <x:c r="F17" s="1"/>
      <x:c r="G17" s="1"/>
    </x:row>
    <x:row r="18" ht="34" customHeight="1">
      <x:c r="A18" s="11" t="str">
        <x:v>Filtering</x:v>
      </x:c>
      <x:c r="B18" s="1" t="str">
        <x:v>pp. 7-8: three-sample average; two matching samples; 7 cm hysteresis; 250 ms hit cooldown.</x:v>
      </x:c>
      <x:c r="C18" s="1"/>
      <x:c r="D18" s="1"/>
      <x:c r="E18" s="1"/>
      <x:c r="F18" s="1"/>
      <x:c r="G18" s="1"/>
    </x:row>
    <x:row r="19" ht="34" customHeight="1">
      <x:c r="A19" s="11" t="str">
        <x:v>Polling</x:v>
      </x:c>
      <x:c r="B19" s="1" t="str">
        <x:v>pp. 8, 10: 75 ms implemented. 100 ms is a preferred candidate with heavier animation.</x:v>
      </x:c>
      <x:c r="C19" s="1"/>
      <x:c r="D19" s="1"/>
      <x:c r="E19" s="1"/>
      <x:c r="F19" s="1"/>
      <x:c r="G19" s="1"/>
    </x:row>
    <x:row r="20" ht="34" customHeight="1">
      <x:c r="A20" s="11" t="str">
        <x:v>Fast polling</x:v>
      </x:c>
      <x:c r="B20" s="1" t="str">
        <x:v>p. 10, T-11: 25/50 ms polling caused abnormal UI behaviour; this is not network latency.</x:v>
      </x:c>
      <x:c r="C20" s="1"/>
      <x:c r="D20" s="1"/>
      <x:c r="E20" s="1"/>
      <x:c r="F20" s="1"/>
      <x:c r="G20" s="1"/>
    </x:row>
    <x:row r="21" ht="34" customHeight="1">
      <x:c r="A21" s="11" t="str">
        <x:v>Player distance</x:v>
      </x:c>
      <x:c r="B21" s="1" t="str">
        <x:v>pp. 9-10, T-13: 10/30 cm unreliable; 50/70/90 cm reliable; 100/120 cm usable with errors.</x:v>
      </x:c>
      <x:c r="C21" s="1"/>
      <x:c r="D21" s="1"/>
      <x:c r="E21" s="1"/>
      <x:c r="F21" s="1"/>
      <x:c r="G21" s="1"/>
    </x:row>
    <x:row r="22" ht="34" customHeight="1">
      <x:c r="A22" s="11" t="str">
        <x:v>Far distance</x:v>
      </x:c>
      <x:c r="B22" s="1" t="str">
        <x:v>p. 10, T-13: 140/150 cm reduced reliability; 175 cm poor; tested without stand or cone.</x:v>
      </x:c>
      <x:c r="C22" s="1"/>
      <x:c r="D22" s="1"/>
      <x:c r="E22" s="1"/>
      <x:c r="F22" s="1"/>
      <x:c r="G22" s="1"/>
    </x:row>
    <x:row r="23" ht="34" customHeight="1">
      <x:c r="A23" s="11" t="str">
        <x:v>Position residual</x:v>
      </x:c>
      <x:c r="B23" s="1" t="str">
        <x:v>p. 10, T-12: 0.18-0.75 m accepted; 0.80/1.00 m rejected. Residual is not measured position error.</x:v>
      </x:c>
      <x:c r="C23" s="1"/>
      <x:c r="D23" s="1"/>
      <x:c r="E23" s="1"/>
      <x:c r="F23" s="1"/>
      <x:c r="G23" s="1"/>
    </x:row>
    <x:row r="24" ht="34" customHeight="1">
      <x:c r="A24" s="11" t="str">
        <x:v>Baseline hardware</x:v>
      </x:c>
      <x:c r="B24" s="1" t="str">
        <x:v>pp. 13, 15: Week 5 prototype uses one ESP32 and two ultrasonic lanes; distributed nodes deferred.</x:v>
      </x:c>
      <x:c r="C24" s="1"/>
      <x:c r="D24" s="1"/>
      <x:c r="E24" s="1"/>
      <x:c r="F24" s="1"/>
      <x:c r="G24" s="1"/>
    </x:row>
    <x:row r="25" ht="34" customHeight="1">
      <x:c r="A25" s="11" t="str">
        <x:v>Missing measurements</x:v>
      </x:c>
      <x:c r="B25" s="1" t="str">
        <x:v>No raw sampling-rate trials or network RTT distribution were supplied in these attachments.</x:v>
      </x:c>
      <x:c r="C25" s="1"/>
      <x:c r="D25" s="1"/>
      <x:c r="E25" s="1"/>
      <x:c r="F25" s="1"/>
      <x:c r="G25" s="1"/>
    </x:row>
    <x:row r="26" ht="34" customHeight="1">
      <x:c r="A26" s="11" t="str">
        <x:v>Mount meaning</x:v>
      </x:c>
      <x:c r="B26" s="1" t="str">
        <x:v>User confirmed Book2 distances are sensor mounting positions; origin, height and angle are unspecified.</x:v>
      </x:c>
      <x:c r="C26" s="1"/>
      <x:c r="D26" s="1"/>
      <x:c r="E26" s="1"/>
      <x:c r="F26" s="1"/>
      <x:c r="G26" s="1"/>
    </x:row>
    <x:row r="27" ht="34" customHeight="1">
      <x:c r="A27" s="11" t="str">
        <x:v>Book2 interpretation</x:v>
      </x:c>
      <x:c r="B27" s="1" t="str">
        <x:v>0.85 is displayed as 85%. Holes detected is retained separately and is not the accuracy denominator.</x:v>
      </x:c>
      <x:c r="C27" s="1"/>
      <x:c r="D27" s="1"/>
      <x:c r="E27" s="1"/>
      <x:c r="F27" s="1"/>
      <x:c r="G27" s="1"/>
    </x:row>
    <x:row r="28" ht="34" customHeight="1">
      <x:c r="A28" s="11" t="str">
        <x:v>Synthetic scope</x:v>
      </x:c>
      <x:c r="B28" s="1" t="str">
        <x:v>All records in Sampling, Latency and Position, including Week 5, are generated examples, not observations.</x:v>
      </x:c>
      <x:c r="C28" s="1"/>
      <x:c r="D28" s="1"/>
      <x:c r="E28" s="1"/>
      <x:c r="F28" s="1"/>
      <x:c r="G28" s="1"/>
    </x:row>
    <x:row r="29" ht="34" customHeight="1">
      <x:c r="A29" s="11" t="str">
        <x:v>Scenario scope</x:v>
      </x:c>
      <x:c r="B29" s="1" t="str">
        <x:v>Retain a two-lane MVP through Week 9 for comparability. This is an assumed scenario, not verified firmware history.</x:v>
      </x:c>
      <x:c r="C29" s="1"/>
      <x:c r="D29" s="1"/>
      <x:c r="E29" s="1"/>
      <x:c r="F29" s="1"/>
      <x:c r="G29" s="1"/>
    </x:row>
    <x:row r="30" ht="34" customHeight="1">
      <x:c r="A30" s="11" t="str">
        <x:v>Sampling model</x:v>
      </x:c>
      <x:c r="B30" s="1" t="str">
        <x:v>Five 60-second runs per sensor per week. Fixed 45 ms alternating triggers; increasing valid-reading yield.</x:v>
      </x:c>
      <x:c r="C30" s="1"/>
      <x:c r="D30" s="1"/>
      <x:c r="E30" s="1"/>
      <x:c r="F30" s="1"/>
      <x:c r="G30" s="1"/>
    </x:row>
    <x:row r="31" ht="34" customHeight="1">
      <x:c r="A31" s="11" t="str">
        <x:v>Synthetic valid yield</x:v>
      </x:c>
      <x:c r="B31" s="1" t="str">
        <x:v>Assumed mean valid fractions for Weeks 5-9: 85%, 89%, 92%, 94%, 97%; random trial variation included.</x:v>
      </x:c>
      <x:c r="C31" s="1"/>
      <x:c r="D31" s="1"/>
      <x:c r="E31" s="1"/>
      <x:c r="F31" s="1"/>
      <x:c r="G31" s="1"/>
    </x:row>
    <x:row r="32" ht="34" customHeight="1">
      <x:c r="A32" s="11" t="str">
        <x:v>Latency definition</x:v>
      </x:c>
      <x:c r="B32" s="1" t="str">
        <x:v>30 synthetic HTTP request/response RTTs per week, timed at the computer to the access-point ESP32.</x:v>
      </x:c>
      <x:c r="C32" s="1"/>
      <x:c r="D32" s="1"/>
      <x:c r="E32" s="1"/>
      <x:c r="F32" s="1"/>
      <x:c r="G32" s="1"/>
    </x:row>
    <x:row r="33" ht="34" customHeight="1">
      <x:c r="A33" s="11" t="str">
        <x:v>Latency model</x:v>
      </x:c>
      <x:c r="B33" s="1" t="str">
        <x:v>Assumed base RTT medians 27, 24, 23, 21, 19 ms; lognormal variation plus occasional delays.</x:v>
      </x:c>
      <x:c r="C33" s="1"/>
      <x:c r="D33" s="1"/>
      <x:c r="E33" s="1"/>
      <x:c r="F33" s="1"/>
      <x:c r="G33" s="1"/>
    </x:row>
    <x:row r="34" ht="34" customHeight="1">
      <x:c r="A34" s="11" t="str">
        <x:v>Latency exclusions</x:v>
      </x:c>
      <x:c r="B34" s="1" t="str">
        <x:v>RTT is not one-way delay, Wi-Fi join time, motion-to-screen delay, or a measured remote-node-to-PC delay.</x:v>
      </x:c>
      <x:c r="C34" s="1"/>
      <x:c r="D34" s="1"/>
      <x:c r="E34" s="1"/>
      <x:c r="F34" s="1"/>
      <x:c r="G34" s="1"/>
    </x:row>
    <x:row r="35" ht="34" customHeight="1">
      <x:c r="A35" s="11" t="str">
        <x:v>Position protocol</x:v>
      </x:c>
      <x:c r="B35" s="1" t="str">
        <x:v>Five trials per setup/week; 100 attempts spread across six holes. Holes detected counts holes with at least one correct response.</x:v>
      </x:c>
      <x:c r="C35" s="1"/>
      <x:c r="D35" s="1"/>
      <x:c r="E35" s="1"/>
      <x:c r="F35" s="1"/>
      <x:c r="G35" s="1"/>
    </x:row>
    <x:row r="36" ht="34" customHeight="1">
      <x:c r="A36" s="11" t="str">
        <x:v>Synthetic accuracy</x:v>
      </x:c>
      <x:c r="B36" s="1" t="str">
        <x:v>30/30 cm assumed probabilities: 83%, 87%, 91%, 93%, 96%. 35/35 cm: 78%, 82%, 85%, 88%, 91%.</x:v>
      </x:c>
      <x:c r="C36" s="1"/>
      <x:c r="D36" s="1"/>
      <x:c r="E36" s="1"/>
      <x:c r="F36" s="1"/>
      <x:c r="G36" s="1"/>
    </x:row>
    <x:row r="37" ht="34" customHeight="1">
      <x:c r="A37" s="11" t="str">
        <x:v>Position assumptions</x:v>
      </x:c>
      <x:c r="B37" s="1" t="str">
        <x:v>Same player movements across six holes and the same room assumed; valid yield and accuracy are separate trials.</x:v>
      </x:c>
      <x:c r="C37" s="1"/>
      <x:c r="D37" s="1"/>
      <x:c r="E37" s="1"/>
      <x:c r="F37" s="1"/>
      <x:c r="G37" s="1"/>
    </x:row>
    <x:row r="38" ht="34" customHeight="1">
      <x:c r="A38" s="11" t="str">
        <x:v>Improvement premise</x:v>
      </x:c>
      <x:c r="B38" s="1" t="str">
        <x:v>Hypothetical better mounting, calibration and filtering motivate the trend; none is claimed as completed work.</x:v>
      </x:c>
      <x:c r="C38" s="1"/>
      <x:c r="D38" s="1"/>
      <x:c r="E38" s="1"/>
      <x:c r="F38" s="1"/>
      <x:c r="G38" s="1"/>
    </x:row>
    <x:row r="39" ht="34" customHeight="1">
      <x:c r="A39" s="11" t="str">
        <x:v>Reproducibility</x:v>
      </x:c>
      <x:c r="B39" s="1" t="str">
        <x:v>Fixed PRNG seed 48234559. Trial values are fixed; calculated metrics and summaries use Excel formulas.</x:v>
      </x:c>
      <x:c r="C39" s="1"/>
      <x:c r="D39" s="1"/>
      <x:c r="E39" s="1"/>
      <x:c r="F39" s="1"/>
      <x:c r="G39" s="1"/>
    </x:row>
    <x:row r="40" ht="34" customHeight="1">
      <x:c r="A40" s="11" t="str">
        <x:v>Use</x:v>
      </x:c>
      <x:c r="B40" s="1" t="str">
        <x:v>Synthetic data for examples, planning and charts. Replace with real logs before describing demo performance as measured.</x:v>
      </x:c>
      <x:c r="C40" s="1"/>
      <x:c r="D40" s="1"/>
      <x:c r="E40" s="1"/>
      <x:c r="F40" s="1"/>
      <x:c r="G40" s="1"/>
    </x:row>
    <x:row r="41" ht="34" customHeight="1">
      <x:c r="A41" s="11" t="str">
        <x:v>Source omissions</x:v>
      </x:c>
      <x:c r="B41" s="1" t="str">
        <x:v>Empty duplicate connection-time headings and the incomplete Ac heading in Book2 contain no results.</x:v>
      </x:c>
      <x:c r="C41" s="1"/>
      <x:c r="D41" s="1"/>
      <x:c r="E41" s="1"/>
      <x:c r="F41" s="1"/>
      <x:c r="G41" s="1"/>
    </x:row>
    <x:row r="42" ht="23" customHeight="1">
      <x:c r="A42" s="1"/>
      <x:c r="B42" s="1"/>
      <x:c r="C42" s="1"/>
      <x:c r="D42" s="1"/>
      <x:c r="E42" s="1"/>
      <x:c r="F42" s="1"/>
      <x:c r="G42" s="1"/>
    </x:row>
    <x:row r="43" ht="23" customHeight="1">
      <x:c r="A43" s="1"/>
      <x:c r="B43" s="1"/>
      <x:c r="C43" s="1"/>
      <x:c r="D43" s="1"/>
      <x:c r="E43" s="1"/>
      <x:c r="F43" s="1"/>
      <x:c r="G43" s="1"/>
    </x:row>
    <x:row r="44" ht="23" customHeight="1">
      <x:c r="A44" s="1"/>
      <x:c r="B44" s="1"/>
      <x:c r="C44" s="1"/>
      <x:c r="D44" s="1"/>
      <x:c r="E44" s="1"/>
      <x:c r="F44" s="1"/>
      <x:c r="G44" s="1"/>
    </x:row>
    <x:row r="45" ht="23" customHeight="1">
      <x:c r="A45" s="1"/>
      <x:c r="B45" s="1"/>
      <x:c r="C45" s="1"/>
      <x:c r="D45" s="1"/>
      <x:c r="E45" s="1"/>
      <x:c r="F45" s="1"/>
      <x:c r="G45" s="1"/>
    </x:row>
    <x:row r="46" ht="23" customHeight="1">
      <x:c r="A46" s="1"/>
      <x:c r="B46" s="1"/>
      <x:c r="C46" s="1"/>
      <x:c r="D46" s="1"/>
      <x:c r="E46" s="1"/>
      <x:c r="F46" s="1"/>
      <x:c r="G46" s="1"/>
    </x:row>
    <x:row r="47" ht="23" customHeight="1">
      <x:c r="A47" s="1"/>
      <x:c r="B47" s="1"/>
      <x:c r="C47" s="1"/>
      <x:c r="D47" s="1"/>
      <x:c r="E47" s="1"/>
      <x:c r="F47" s="1"/>
      <x:c r="G47" s="1"/>
    </x:row>
    <x:row r="48" ht="23" customHeight="1">
      <x:c r="A48" s="1"/>
      <x:c r="B48" s="1"/>
      <x:c r="C48" s="1"/>
      <x:c r="D48" s="1"/>
      <x:c r="E48" s="1"/>
      <x:c r="F48" s="1"/>
      <x:c r="G48" s="1"/>
    </x:row>
    <x:row r="49" ht="23" customHeight="1">
      <x:c r="A49" s="1"/>
      <x:c r="B49" s="1"/>
      <x:c r="C49" s="1"/>
      <x:c r="D49" s="1"/>
      <x:c r="E49" s="1"/>
      <x:c r="F49" s="1"/>
      <x:c r="G49" s="1"/>
    </x:row>
  </x:sheetData>
  <x:pageMargins left="0.7" right="0.7" top="0.75" bottom="0.75" header="0.3" footer="0.3"/>
  <x:tableParts count="1">
    <x:tablePart xmlns:r="http://schemas.openxmlformats.org/officeDocument/2006/relationships" r:id="Rb42f10e6f94c4fd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3" hidden="0" customWidth="1"/>
    <x:col min="4" max="4" width="17" hidden="0" customWidth="1"/>
    <x:col min="5" max="5" width="18" hidden="0" customWidth="1"/>
    <x:col min="6" max="6" width="20" hidden="0" customWidth="1"/>
    <x:col min="7" max="7" width="18" hidden="0" customWidth="1"/>
    <x:col min="8" max="8" width="17" hidden="0" customWidth="1"/>
    <x:col min="9" max="9" width="18" hidden="0" customWidth="1"/>
    <x:col min="10" max="10" width="19" hidden="0" customWidth="1"/>
    <x:col min="11" max="11" width="18" hidden="0" customWidth="1"/>
  </x:cols>
  <x:sheetData>
    <x:row r="1" ht="23" customHeight="1">
      <x:c r="A1" s="2" t="str">
        <x:v>Sampling rate - synthetic trials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3" customHeight="1">
      <x:c r="A2" s="3" t="str">
        <x:v>SYNTHETIC: 45 ms alternating triggers; valid sample rate is per sensor, not browser polling or hit rate.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8" customHeight="1">
      <x:c r="A4" s="6" t="str">
        <x:v>Week</x:v>
      </x:c>
      <x:c r="B4" s="6" t="str">
        <x:v>Sensor</x:v>
      </x:c>
      <x:c r="C4" s="6" t="str">
        <x:v>Run</x:v>
      </x:c>
      <x:c r="D4" s="6" t="str">
        <x:v>Duration (s)</x:v>
      </x:c>
      <x:c r="E4" s="6" t="str">
        <x:v>Trigger gap (ms)</x:v>
      </x:c>
      <x:c r="F4" s="6" t="str">
        <x:v>Alternating sensors</x:v>
      </x:c>
      <x:c r="G4" s="6" t="str">
        <x:v>Acquired samples</x:v>
      </x:c>
      <x:c r="H4" s="6" t="str">
        <x:v>Valid samples</x:v>
      </x:c>
      <x:c r="I4" s="6" t="str">
        <x:v>Nominal Hz/sensor</x:v>
      </x:c>
      <x:c r="J4" s="6" t="str">
        <x:v>Acquired Hz/sensor</x:v>
      </x:c>
      <x:c r="K4" s="6" t="str">
        <x:v>Valid Hz/sensor</x:v>
      </x:c>
    </x:row>
    <x:row r="5" ht="23" customHeight="1">
      <x:c r="A5" s="8" t="n">
        <x:v>5</x:v>
      </x:c>
      <x:c r="B5" s="8" t="n">
        <x:v>1</x:v>
      </x:c>
      <x:c r="C5" s="8" t="n">
        <x:v>1</x:v>
      </x:c>
      <x:c r="D5" s="8" t="n">
        <x:v>60</x:v>
      </x:c>
      <x:c r="E5" s="8" t="n">
        <x:v>45</x:v>
      </x:c>
      <x:c r="F5" s="8" t="n">
        <x:v>2</x:v>
      </x:c>
      <x:c r="G5" s="8" t="n">
        <x:v>659</x:v>
      </x:c>
      <x:c r="H5" s="8" t="n">
        <x:v>552</x:v>
      </x:c>
      <x:c r="I5" s="12" t="n">
        <x:f>1000/(E5*F5)</x:f>
        <x:v>11.11111111111111</x:v>
      </x:c>
      <x:c r="J5" s="12" t="n">
        <x:f>G5/D5</x:f>
        <x:v>10.983333333333333</x:v>
      </x:c>
      <x:c r="K5" s="12" t="n">
        <x:f>H5/D5</x:f>
        <x:v>9.2</x:v>
      </x:c>
    </x:row>
    <x:row r="6" ht="23" customHeight="1">
      <x:c r="A6" s="8" t="n">
        <x:v>5</x:v>
      </x:c>
      <x:c r="B6" s="8" t="n">
        <x:v>1</x:v>
      </x:c>
      <x:c r="C6" s="8" t="n">
        <x:v>2</x:v>
      </x:c>
      <x:c r="D6" s="8" t="n">
        <x:v>60</x:v>
      </x:c>
      <x:c r="E6" s="8" t="n">
        <x:v>45</x:v>
      </x:c>
      <x:c r="F6" s="8" t="n">
        <x:v>2</x:v>
      </x:c>
      <x:c r="G6" s="8" t="n">
        <x:v>660</x:v>
      </x:c>
      <x:c r="H6" s="8" t="n">
        <x:v>551</x:v>
      </x:c>
      <x:c r="I6" s="12" t="n">
        <x:f>1000/(E6*F6)</x:f>
        <x:v>11.11111111111111</x:v>
      </x:c>
      <x:c r="J6" s="12" t="n">
        <x:f>G6/D6</x:f>
        <x:v>11</x:v>
      </x:c>
      <x:c r="K6" s="12" t="n">
        <x:f>H6/D6</x:f>
        <x:v>9.183333333333334</x:v>
      </x:c>
    </x:row>
    <x:row r="7" ht="23" customHeight="1">
      <x:c r="A7" s="8" t="n">
        <x:v>5</x:v>
      </x:c>
      <x:c r="B7" s="8" t="n">
        <x:v>1</x:v>
      </x:c>
      <x:c r="C7" s="8" t="n">
        <x:v>3</x:v>
      </x:c>
      <x:c r="D7" s="8" t="n">
        <x:v>60</x:v>
      </x:c>
      <x:c r="E7" s="8" t="n">
        <x:v>45</x:v>
      </x:c>
      <x:c r="F7" s="8" t="n">
        <x:v>2</x:v>
      </x:c>
      <x:c r="G7" s="8" t="n">
        <x:v>657</x:v>
      </x:c>
      <x:c r="H7" s="8" t="n">
        <x:v>554</x:v>
      </x:c>
      <x:c r="I7" s="12" t="n">
        <x:f>1000/(E7*F7)</x:f>
        <x:v>11.11111111111111</x:v>
      </x:c>
      <x:c r="J7" s="12" t="n">
        <x:f>G7/D7</x:f>
        <x:v>10.95</x:v>
      </x:c>
      <x:c r="K7" s="12" t="n">
        <x:f>H7/D7</x:f>
        <x:v>9.233333333333333</x:v>
      </x:c>
    </x:row>
    <x:row r="8" ht="23" customHeight="1">
      <x:c r="A8" s="8" t="n">
        <x:v>5</x:v>
      </x:c>
      <x:c r="B8" s="8" t="n">
        <x:v>1</x:v>
      </x:c>
      <x:c r="C8" s="8" t="n">
        <x:v>4</x:v>
      </x:c>
      <x:c r="D8" s="8" t="n">
        <x:v>60</x:v>
      </x:c>
      <x:c r="E8" s="8" t="n">
        <x:v>45</x:v>
      </x:c>
      <x:c r="F8" s="8" t="n">
        <x:v>2</x:v>
      </x:c>
      <x:c r="G8" s="8" t="n">
        <x:v>654</x:v>
      </x:c>
      <x:c r="H8" s="8" t="n">
        <x:v>555</x:v>
      </x:c>
      <x:c r="I8" s="12" t="n">
        <x:f>1000/(E8*F8)</x:f>
        <x:v>11.11111111111111</x:v>
      </x:c>
      <x:c r="J8" s="12" t="n">
        <x:f>G8/D8</x:f>
        <x:v>10.9</x:v>
      </x:c>
      <x:c r="K8" s="12" t="n">
        <x:f>H8/D8</x:f>
        <x:v>9.25</x:v>
      </x:c>
    </x:row>
    <x:row r="9" ht="23" customHeight="1">
      <x:c r="A9" s="8" t="n">
        <x:v>5</x:v>
      </x:c>
      <x:c r="B9" s="8" t="n">
        <x:v>1</x:v>
      </x:c>
      <x:c r="C9" s="8" t="n">
        <x:v>5</x:v>
      </x:c>
      <x:c r="D9" s="8" t="n">
        <x:v>60</x:v>
      </x:c>
      <x:c r="E9" s="8" t="n">
        <x:v>45</x:v>
      </x:c>
      <x:c r="F9" s="8" t="n">
        <x:v>2</x:v>
      </x:c>
      <x:c r="G9" s="8" t="n">
        <x:v>658</x:v>
      </x:c>
      <x:c r="H9" s="8" t="n">
        <x:v>554</x:v>
      </x:c>
      <x:c r="I9" s="12" t="n">
        <x:f>1000/(E9*F9)</x:f>
        <x:v>11.11111111111111</x:v>
      </x:c>
      <x:c r="J9" s="12" t="n">
        <x:f>G9/D9</x:f>
        <x:v>10.966666666666667</x:v>
      </x:c>
      <x:c r="K9" s="12" t="n">
        <x:f>H9/D9</x:f>
        <x:v>9.233333333333333</x:v>
      </x:c>
    </x:row>
    <x:row r="10" ht="23" customHeight="1">
      <x:c r="A10" s="8" t="n">
        <x:v>5</x:v>
      </x:c>
      <x:c r="B10" s="8" t="n">
        <x:v>2</x:v>
      </x:c>
      <x:c r="C10" s="8" t="n">
        <x:v>1</x:v>
      </x:c>
      <x:c r="D10" s="8" t="n">
        <x:v>60</x:v>
      </x:c>
      <x:c r="E10" s="8" t="n">
        <x:v>45</x:v>
      </x:c>
      <x:c r="F10" s="8" t="n">
        <x:v>2</x:v>
      </x:c>
      <x:c r="G10" s="8" t="n">
        <x:v>651</x:v>
      </x:c>
      <x:c r="H10" s="8" t="n">
        <x:v>546</x:v>
      </x:c>
      <x:c r="I10" s="12" t="n">
        <x:f>1000/(E10*F10)</x:f>
        <x:v>11.11111111111111</x:v>
      </x:c>
      <x:c r="J10" s="12" t="n">
        <x:f>G10/D10</x:f>
        <x:v>10.85</x:v>
      </x:c>
      <x:c r="K10" s="12" t="n">
        <x:f>H10/D10</x:f>
        <x:v>9.1</x:v>
      </x:c>
    </x:row>
    <x:row r="11" ht="23" customHeight="1">
      <x:c r="A11" s="8" t="n">
        <x:v>5</x:v>
      </x:c>
      <x:c r="B11" s="8" t="n">
        <x:v>2</x:v>
      </x:c>
      <x:c r="C11" s="8" t="n">
        <x:v>2</x:v>
      </x:c>
      <x:c r="D11" s="8" t="n">
        <x:v>60</x:v>
      </x:c>
      <x:c r="E11" s="8" t="n">
        <x:v>45</x:v>
      </x:c>
      <x:c r="F11" s="8" t="n">
        <x:v>2</x:v>
      </x:c>
      <x:c r="G11" s="8" t="n">
        <x:v>653</x:v>
      </x:c>
      <x:c r="H11" s="8" t="n">
        <x:v>551</x:v>
      </x:c>
      <x:c r="I11" s="12" t="n">
        <x:f>1000/(E11*F11)</x:f>
        <x:v>11.11111111111111</x:v>
      </x:c>
      <x:c r="J11" s="12" t="n">
        <x:f>G11/D11</x:f>
        <x:v>10.883333333333333</x:v>
      </x:c>
      <x:c r="K11" s="12" t="n">
        <x:f>H11/D11</x:f>
        <x:v>9.183333333333334</x:v>
      </x:c>
    </x:row>
    <x:row r="12" ht="23" customHeight="1">
      <x:c r="A12" s="8" t="n">
        <x:v>5</x:v>
      </x:c>
      <x:c r="B12" s="8" t="n">
        <x:v>2</x:v>
      </x:c>
      <x:c r="C12" s="8" t="n">
        <x:v>3</x:v>
      </x:c>
      <x:c r="D12" s="8" t="n">
        <x:v>60</x:v>
      </x:c>
      <x:c r="E12" s="8" t="n">
        <x:v>45</x:v>
      </x:c>
      <x:c r="F12" s="8" t="n">
        <x:v>2</x:v>
      </x:c>
      <x:c r="G12" s="8" t="n">
        <x:v>654</x:v>
      </x:c>
      <x:c r="H12" s="8" t="n">
        <x:v>549</x:v>
      </x:c>
      <x:c r="I12" s="12" t="n">
        <x:f>1000/(E12*F12)</x:f>
        <x:v>11.11111111111111</x:v>
      </x:c>
      <x:c r="J12" s="12" t="n">
        <x:f>G12/D12</x:f>
        <x:v>10.9</x:v>
      </x:c>
      <x:c r="K12" s="12" t="n">
        <x:f>H12/D12</x:f>
        <x:v>9.15</x:v>
      </x:c>
    </x:row>
    <x:row r="13" ht="23" customHeight="1">
      <x:c r="A13" s="8" t="n">
        <x:v>5</x:v>
      </x:c>
      <x:c r="B13" s="8" t="n">
        <x:v>2</x:v>
      </x:c>
      <x:c r="C13" s="8" t="n">
        <x:v>4</x:v>
      </x:c>
      <x:c r="D13" s="8" t="n">
        <x:v>60</x:v>
      </x:c>
      <x:c r="E13" s="8" t="n">
        <x:v>45</x:v>
      </x:c>
      <x:c r="F13" s="8" t="n">
        <x:v>2</x:v>
      </x:c>
      <x:c r="G13" s="8" t="n">
        <x:v>654</x:v>
      </x:c>
      <x:c r="H13" s="8" t="n">
        <x:v>549</x:v>
      </x:c>
      <x:c r="I13" s="12" t="n">
        <x:f>1000/(E13*F13)</x:f>
        <x:v>11.11111111111111</x:v>
      </x:c>
      <x:c r="J13" s="12" t="n">
        <x:f>G13/D13</x:f>
        <x:v>10.9</x:v>
      </x:c>
      <x:c r="K13" s="12" t="n">
        <x:f>H13/D13</x:f>
        <x:v>9.15</x:v>
      </x:c>
    </x:row>
    <x:row r="14" ht="23" customHeight="1">
      <x:c r="A14" s="8" t="n">
        <x:v>5</x:v>
      </x:c>
      <x:c r="B14" s="8" t="n">
        <x:v>2</x:v>
      </x:c>
      <x:c r="C14" s="8" t="n">
        <x:v>5</x:v>
      </x:c>
      <x:c r="D14" s="8" t="n">
        <x:v>60</x:v>
      </x:c>
      <x:c r="E14" s="8" t="n">
        <x:v>45</x:v>
      </x:c>
      <x:c r="F14" s="8" t="n">
        <x:v>2</x:v>
      </x:c>
      <x:c r="G14" s="8" t="n">
        <x:v>657</x:v>
      </x:c>
      <x:c r="H14" s="8" t="n">
        <x:v>560</x:v>
      </x:c>
      <x:c r="I14" s="12" t="n">
        <x:f>1000/(E14*F14)</x:f>
        <x:v>11.11111111111111</x:v>
      </x:c>
      <x:c r="J14" s="12" t="n">
        <x:f>G14/D14</x:f>
        <x:v>10.95</x:v>
      </x:c>
      <x:c r="K14" s="12" t="n">
        <x:f>H14/D14</x:f>
        <x:v>9.333333333333334</x:v>
      </x:c>
    </x:row>
    <x:row r="15" ht="23" customHeight="1">
      <x:c r="A15" s="8" t="n">
        <x:v>6</x:v>
      </x:c>
      <x:c r="B15" s="8" t="n">
        <x:v>1</x:v>
      </x:c>
      <x:c r="C15" s="8" t="n">
        <x:v>1</x:v>
      </x:c>
      <x:c r="D15" s="8" t="n">
        <x:v>60</x:v>
      </x:c>
      <x:c r="E15" s="8" t="n">
        <x:v>45</x:v>
      </x:c>
      <x:c r="F15" s="8" t="n">
        <x:v>2</x:v>
      </x:c>
      <x:c r="G15" s="8" t="n">
        <x:v>660</x:v>
      </x:c>
      <x:c r="H15" s="8" t="n">
        <x:v>596</x:v>
      </x:c>
      <x:c r="I15" s="12" t="n">
        <x:f>1000/(E15*F15)</x:f>
        <x:v>11.11111111111111</x:v>
      </x:c>
      <x:c r="J15" s="12" t="n">
        <x:f>G15/D15</x:f>
        <x:v>11</x:v>
      </x:c>
      <x:c r="K15" s="12" t="n">
        <x:f>H15/D15</x:f>
        <x:v>9.933333333333334</x:v>
      </x:c>
    </x:row>
    <x:row r="16" ht="23" customHeight="1">
      <x:c r="A16" s="8" t="n">
        <x:v>6</x:v>
      </x:c>
      <x:c r="B16" s="8" t="n">
        <x:v>1</x:v>
      </x:c>
      <x:c r="C16" s="8" t="n">
        <x:v>2</x:v>
      </x:c>
      <x:c r="D16" s="8" t="n">
        <x:v>60</x:v>
      </x:c>
      <x:c r="E16" s="8" t="n">
        <x:v>45</x:v>
      </x:c>
      <x:c r="F16" s="8" t="n">
        <x:v>2</x:v>
      </x:c>
      <x:c r="G16" s="8" t="n">
        <x:v>662</x:v>
      </x:c>
      <x:c r="H16" s="8" t="n">
        <x:v>596</x:v>
      </x:c>
      <x:c r="I16" s="12" t="n">
        <x:f>1000/(E16*F16)</x:f>
        <x:v>11.11111111111111</x:v>
      </x:c>
      <x:c r="J16" s="12" t="n">
        <x:f>G16/D16</x:f>
        <x:v>11.033333333333333</x:v>
      </x:c>
      <x:c r="K16" s="12" t="n">
        <x:f>H16/D16</x:f>
        <x:v>9.933333333333334</x:v>
      </x:c>
    </x:row>
    <x:row r="17" ht="23" customHeight="1">
      <x:c r="A17" s="8" t="n">
        <x:v>6</x:v>
      </x:c>
      <x:c r="B17" s="8" t="n">
        <x:v>1</x:v>
      </x:c>
      <x:c r="C17" s="8" t="n">
        <x:v>3</x:v>
      </x:c>
      <x:c r="D17" s="8" t="n">
        <x:v>60</x:v>
      </x:c>
      <x:c r="E17" s="8" t="n">
        <x:v>45</x:v>
      </x:c>
      <x:c r="F17" s="8" t="n">
        <x:v>2</x:v>
      </x:c>
      <x:c r="G17" s="8" t="n">
        <x:v>654</x:v>
      </x:c>
      <x:c r="H17" s="8" t="n">
        <x:v>583</x:v>
      </x:c>
      <x:c r="I17" s="12" t="n">
        <x:f>1000/(E17*F17)</x:f>
        <x:v>11.11111111111111</x:v>
      </x:c>
      <x:c r="J17" s="12" t="n">
        <x:f>G17/D17</x:f>
        <x:v>10.9</x:v>
      </x:c>
      <x:c r="K17" s="12" t="n">
        <x:f>H17/D17</x:f>
        <x:v>9.716666666666667</x:v>
      </x:c>
    </x:row>
    <x:row r="18" ht="23" customHeight="1">
      <x:c r="A18" s="8" t="n">
        <x:v>6</x:v>
      </x:c>
      <x:c r="B18" s="8" t="n">
        <x:v>1</x:v>
      </x:c>
      <x:c r="C18" s="8" t="n">
        <x:v>4</x:v>
      </x:c>
      <x:c r="D18" s="8" t="n">
        <x:v>60</x:v>
      </x:c>
      <x:c r="E18" s="8" t="n">
        <x:v>45</x:v>
      </x:c>
      <x:c r="F18" s="8" t="n">
        <x:v>2</x:v>
      </x:c>
      <x:c r="G18" s="8" t="n">
        <x:v>658</x:v>
      </x:c>
      <x:c r="H18" s="8" t="n">
        <x:v>590</x:v>
      </x:c>
      <x:c r="I18" s="12" t="n">
        <x:f>1000/(E18*F18)</x:f>
        <x:v>11.11111111111111</x:v>
      </x:c>
      <x:c r="J18" s="12" t="n">
        <x:f>G18/D18</x:f>
        <x:v>10.966666666666667</x:v>
      </x:c>
      <x:c r="K18" s="12" t="n">
        <x:f>H18/D18</x:f>
        <x:v>9.833333333333334</x:v>
      </x:c>
    </x:row>
    <x:row r="19" ht="23" customHeight="1">
      <x:c r="A19" s="8" t="n">
        <x:v>6</x:v>
      </x:c>
      <x:c r="B19" s="8" t="n">
        <x:v>1</x:v>
      </x:c>
      <x:c r="C19" s="8" t="n">
        <x:v>5</x:v>
      </x:c>
      <x:c r="D19" s="8" t="n">
        <x:v>60</x:v>
      </x:c>
      <x:c r="E19" s="8" t="n">
        <x:v>45</x:v>
      </x:c>
      <x:c r="F19" s="8" t="n">
        <x:v>2</x:v>
      </x:c>
      <x:c r="G19" s="8" t="n">
        <x:v>650</x:v>
      </x:c>
      <x:c r="H19" s="8" t="n">
        <x:v>575</x:v>
      </x:c>
      <x:c r="I19" s="12" t="n">
        <x:f>1000/(E19*F19)</x:f>
        <x:v>11.11111111111111</x:v>
      </x:c>
      <x:c r="J19" s="12" t="n">
        <x:f>G19/D19</x:f>
        <x:v>10.833333333333334</x:v>
      </x:c>
      <x:c r="K19" s="12" t="n">
        <x:f>H19/D19</x:f>
        <x:v>9.583333333333334</x:v>
      </x:c>
    </x:row>
    <x:row r="20" ht="23" customHeight="1">
      <x:c r="A20" s="8" t="n">
        <x:v>6</x:v>
      </x:c>
      <x:c r="B20" s="8" t="n">
        <x:v>2</x:v>
      </x:c>
      <x:c r="C20" s="8" t="n">
        <x:v>1</x:v>
      </x:c>
      <x:c r="D20" s="8" t="n">
        <x:v>60</x:v>
      </x:c>
      <x:c r="E20" s="8" t="n">
        <x:v>45</x:v>
      </x:c>
      <x:c r="F20" s="8" t="n">
        <x:v>2</x:v>
      </x:c>
      <x:c r="G20" s="8" t="n">
        <x:v>655</x:v>
      </x:c>
      <x:c r="H20" s="8" t="n">
        <x:v>585</x:v>
      </x:c>
      <x:c r="I20" s="12" t="n">
        <x:f>1000/(E20*F20)</x:f>
        <x:v>11.11111111111111</x:v>
      </x:c>
      <x:c r="J20" s="12" t="n">
        <x:f>G20/D20</x:f>
        <x:v>10.916666666666666</x:v>
      </x:c>
      <x:c r="K20" s="12" t="n">
        <x:f>H20/D20</x:f>
        <x:v>9.75</x:v>
      </x:c>
    </x:row>
    <x:row r="21" ht="23" customHeight="1">
      <x:c r="A21" s="8" t="n">
        <x:v>6</x:v>
      </x:c>
      <x:c r="B21" s="8" t="n">
        <x:v>2</x:v>
      </x:c>
      <x:c r="C21" s="8" t="n">
        <x:v>2</x:v>
      </x:c>
      <x:c r="D21" s="8" t="n">
        <x:v>60</x:v>
      </x:c>
      <x:c r="E21" s="8" t="n">
        <x:v>45</x:v>
      </x:c>
      <x:c r="F21" s="8" t="n">
        <x:v>2</x:v>
      </x:c>
      <x:c r="G21" s="8" t="n">
        <x:v>663</x:v>
      </x:c>
      <x:c r="H21" s="8" t="n">
        <x:v>572</x:v>
      </x:c>
      <x:c r="I21" s="12" t="n">
        <x:f>1000/(E21*F21)</x:f>
        <x:v>11.11111111111111</x:v>
      </x:c>
      <x:c r="J21" s="12" t="n">
        <x:f>G21/D21</x:f>
        <x:v>11.05</x:v>
      </x:c>
      <x:c r="K21" s="12" t="n">
        <x:f>H21/D21</x:f>
        <x:v>9.533333333333333</x:v>
      </x:c>
    </x:row>
    <x:row r="22" ht="23" customHeight="1">
      <x:c r="A22" s="8" t="n">
        <x:v>6</x:v>
      </x:c>
      <x:c r="B22" s="8" t="n">
        <x:v>2</x:v>
      </x:c>
      <x:c r="C22" s="8" t="n">
        <x:v>3</x:v>
      </x:c>
      <x:c r="D22" s="8" t="n">
        <x:v>60</x:v>
      </x:c>
      <x:c r="E22" s="8" t="n">
        <x:v>45</x:v>
      </x:c>
      <x:c r="F22" s="8" t="n">
        <x:v>2</x:v>
      </x:c>
      <x:c r="G22" s="8" t="n">
        <x:v>653</x:v>
      </x:c>
      <x:c r="H22" s="8" t="n">
        <x:v>592</x:v>
      </x:c>
      <x:c r="I22" s="12" t="n">
        <x:f>1000/(E22*F22)</x:f>
        <x:v>11.11111111111111</x:v>
      </x:c>
      <x:c r="J22" s="12" t="n">
        <x:f>G22/D22</x:f>
        <x:v>10.883333333333333</x:v>
      </x:c>
      <x:c r="K22" s="12" t="n">
        <x:f>H22/D22</x:f>
        <x:v>9.866666666666667</x:v>
      </x:c>
    </x:row>
    <x:row r="23" ht="23" customHeight="1">
      <x:c r="A23" s="8" t="n">
        <x:v>6</x:v>
      </x:c>
      <x:c r="B23" s="8" t="n">
        <x:v>2</x:v>
      </x:c>
      <x:c r="C23" s="8" t="n">
        <x:v>4</x:v>
      </x:c>
      <x:c r="D23" s="8" t="n">
        <x:v>60</x:v>
      </x:c>
      <x:c r="E23" s="8" t="n">
        <x:v>45</x:v>
      </x:c>
      <x:c r="F23" s="8" t="n">
        <x:v>2</x:v>
      </x:c>
      <x:c r="G23" s="8" t="n">
        <x:v>654</x:v>
      </x:c>
      <x:c r="H23" s="8" t="n">
        <x:v>583</x:v>
      </x:c>
      <x:c r="I23" s="12" t="n">
        <x:f>1000/(E23*F23)</x:f>
        <x:v>11.11111111111111</x:v>
      </x:c>
      <x:c r="J23" s="12" t="n">
        <x:f>G23/D23</x:f>
        <x:v>10.9</x:v>
      </x:c>
      <x:c r="K23" s="12" t="n">
        <x:f>H23/D23</x:f>
        <x:v>9.716666666666667</x:v>
      </x:c>
    </x:row>
    <x:row r="24" ht="23" customHeight="1">
      <x:c r="A24" s="8" t="n">
        <x:v>6</x:v>
      </x:c>
      <x:c r="B24" s="8" t="n">
        <x:v>2</x:v>
      </x:c>
      <x:c r="C24" s="8" t="n">
        <x:v>5</x:v>
      </x:c>
      <x:c r="D24" s="8" t="n">
        <x:v>60</x:v>
      </x:c>
      <x:c r="E24" s="8" t="n">
        <x:v>45</x:v>
      </x:c>
      <x:c r="F24" s="8" t="n">
        <x:v>2</x:v>
      </x:c>
      <x:c r="G24" s="8" t="n">
        <x:v>651</x:v>
      </x:c>
      <x:c r="H24" s="8" t="n">
        <x:v>589</x:v>
      </x:c>
      <x:c r="I24" s="12" t="n">
        <x:f>1000/(E24*F24)</x:f>
        <x:v>11.11111111111111</x:v>
      </x:c>
      <x:c r="J24" s="12" t="n">
        <x:f>G24/D24</x:f>
        <x:v>10.85</x:v>
      </x:c>
      <x:c r="K24" s="12" t="n">
        <x:f>H24/D24</x:f>
        <x:v>9.816666666666666</x:v>
      </x:c>
    </x:row>
    <x:row r="25" ht="23" customHeight="1">
      <x:c r="A25" s="8" t="n">
        <x:v>7</x:v>
      </x:c>
      <x:c r="B25" s="8" t="n">
        <x:v>1</x:v>
      </x:c>
      <x:c r="C25" s="8" t="n">
        <x:v>1</x:v>
      </x:c>
      <x:c r="D25" s="8" t="n">
        <x:v>60</x:v>
      </x:c>
      <x:c r="E25" s="8" t="n">
        <x:v>45</x:v>
      </x:c>
      <x:c r="F25" s="8" t="n">
        <x:v>2</x:v>
      </x:c>
      <x:c r="G25" s="8" t="n">
        <x:v>656</x:v>
      </x:c>
      <x:c r="H25" s="8" t="n">
        <x:v>602</x:v>
      </x:c>
      <x:c r="I25" s="12" t="n">
        <x:f>1000/(E25*F25)</x:f>
        <x:v>11.11111111111111</x:v>
      </x:c>
      <x:c r="J25" s="12" t="n">
        <x:f>G25/D25</x:f>
        <x:v>10.933333333333334</x:v>
      </x:c>
      <x:c r="K25" s="12" t="n">
        <x:f>H25/D25</x:f>
        <x:v>10.033333333333333</x:v>
      </x:c>
    </x:row>
    <x:row r="26" ht="23" customHeight="1">
      <x:c r="A26" s="8" t="n">
        <x:v>7</x:v>
      </x:c>
      <x:c r="B26" s="8" t="n">
        <x:v>1</x:v>
      </x:c>
      <x:c r="C26" s="8" t="n">
        <x:v>2</x:v>
      </x:c>
      <x:c r="D26" s="8" t="n">
        <x:v>60</x:v>
      </x:c>
      <x:c r="E26" s="8" t="n">
        <x:v>45</x:v>
      </x:c>
      <x:c r="F26" s="8" t="n">
        <x:v>2</x:v>
      </x:c>
      <x:c r="G26" s="8" t="n">
        <x:v>652</x:v>
      </x:c>
      <x:c r="H26" s="8" t="n">
        <x:v>607</x:v>
      </x:c>
      <x:c r="I26" s="12" t="n">
        <x:f>1000/(E26*F26)</x:f>
        <x:v>11.11111111111111</x:v>
      </x:c>
      <x:c r="J26" s="12" t="n">
        <x:f>G26/D26</x:f>
        <x:v>10.866666666666667</x:v>
      </x:c>
      <x:c r="K26" s="12" t="n">
        <x:f>H26/D26</x:f>
        <x:v>10.116666666666667</x:v>
      </x:c>
    </x:row>
    <x:row r="27" ht="23" customHeight="1">
      <x:c r="A27" s="8" t="n">
        <x:v>7</x:v>
      </x:c>
      <x:c r="B27" s="8" t="n">
        <x:v>1</x:v>
      </x:c>
      <x:c r="C27" s="8" t="n">
        <x:v>3</x:v>
      </x:c>
      <x:c r="D27" s="8" t="n">
        <x:v>60</x:v>
      </x:c>
      <x:c r="E27" s="8" t="n">
        <x:v>45</x:v>
      </x:c>
      <x:c r="F27" s="8" t="n">
        <x:v>2</x:v>
      </x:c>
      <x:c r="G27" s="8" t="n">
        <x:v>662</x:v>
      </x:c>
      <x:c r="H27" s="8" t="n">
        <x:v>606</x:v>
      </x:c>
      <x:c r="I27" s="12" t="n">
        <x:f>1000/(E27*F27)</x:f>
        <x:v>11.11111111111111</x:v>
      </x:c>
      <x:c r="J27" s="12" t="n">
        <x:f>G27/D27</x:f>
        <x:v>11.033333333333333</x:v>
      </x:c>
      <x:c r="K27" s="12" t="n">
        <x:f>H27/D27</x:f>
        <x:v>10.1</x:v>
      </x:c>
    </x:row>
    <x:row r="28" ht="23" customHeight="1">
      <x:c r="A28" s="8" t="n">
        <x:v>7</x:v>
      </x:c>
      <x:c r="B28" s="8" t="n">
        <x:v>1</x:v>
      </x:c>
      <x:c r="C28" s="8" t="n">
        <x:v>4</x:v>
      </x:c>
      <x:c r="D28" s="8" t="n">
        <x:v>60</x:v>
      </x:c>
      <x:c r="E28" s="8" t="n">
        <x:v>45</x:v>
      </x:c>
      <x:c r="F28" s="8" t="n">
        <x:v>2</x:v>
      </x:c>
      <x:c r="G28" s="8" t="n">
        <x:v>651</x:v>
      </x:c>
      <x:c r="H28" s="8" t="n">
        <x:v>593</x:v>
      </x:c>
      <x:c r="I28" s="12" t="n">
        <x:f>1000/(E28*F28)</x:f>
        <x:v>11.11111111111111</x:v>
      </x:c>
      <x:c r="J28" s="12" t="n">
        <x:f>G28/D28</x:f>
        <x:v>10.85</x:v>
      </x:c>
      <x:c r="K28" s="12" t="n">
        <x:f>H28/D28</x:f>
        <x:v>9.883333333333333</x:v>
      </x:c>
    </x:row>
    <x:row r="29" ht="23" customHeight="1">
      <x:c r="A29" s="8" t="n">
        <x:v>7</x:v>
      </x:c>
      <x:c r="B29" s="8" t="n">
        <x:v>1</x:v>
      </x:c>
      <x:c r="C29" s="8" t="n">
        <x:v>5</x:v>
      </x:c>
      <x:c r="D29" s="8" t="n">
        <x:v>60</x:v>
      </x:c>
      <x:c r="E29" s="8" t="n">
        <x:v>45</x:v>
      </x:c>
      <x:c r="F29" s="8" t="n">
        <x:v>2</x:v>
      </x:c>
      <x:c r="G29" s="8" t="n">
        <x:v>663</x:v>
      </x:c>
      <x:c r="H29" s="8" t="n">
        <x:v>596</x:v>
      </x:c>
      <x:c r="I29" s="12" t="n">
        <x:f>1000/(E29*F29)</x:f>
        <x:v>11.11111111111111</x:v>
      </x:c>
      <x:c r="J29" s="12" t="n">
        <x:f>G29/D29</x:f>
        <x:v>11.05</x:v>
      </x:c>
      <x:c r="K29" s="12" t="n">
        <x:f>H29/D29</x:f>
        <x:v>9.933333333333334</x:v>
      </x:c>
    </x:row>
    <x:row r="30" ht="23" customHeight="1">
      <x:c r="A30" s="8" t="n">
        <x:v>7</x:v>
      </x:c>
      <x:c r="B30" s="8" t="n">
        <x:v>2</x:v>
      </x:c>
      <x:c r="C30" s="8" t="n">
        <x:v>1</x:v>
      </x:c>
      <x:c r="D30" s="8" t="n">
        <x:v>60</x:v>
      </x:c>
      <x:c r="E30" s="8" t="n">
        <x:v>45</x:v>
      </x:c>
      <x:c r="F30" s="8" t="n">
        <x:v>2</x:v>
      </x:c>
      <x:c r="G30" s="8" t="n">
        <x:v>654</x:v>
      </x:c>
      <x:c r="H30" s="8" t="n">
        <x:v>589</x:v>
      </x:c>
      <x:c r="I30" s="12" t="n">
        <x:f>1000/(E30*F30)</x:f>
        <x:v>11.11111111111111</x:v>
      </x:c>
      <x:c r="J30" s="12" t="n">
        <x:f>G30/D30</x:f>
        <x:v>10.9</x:v>
      </x:c>
      <x:c r="K30" s="12" t="n">
        <x:f>H30/D30</x:f>
        <x:v>9.816666666666666</x:v>
      </x:c>
    </x:row>
    <x:row r="31" ht="23" customHeight="1">
      <x:c r="A31" s="8" t="n">
        <x:v>7</x:v>
      </x:c>
      <x:c r="B31" s="8" t="n">
        <x:v>2</x:v>
      </x:c>
      <x:c r="C31" s="8" t="n">
        <x:v>2</x:v>
      </x:c>
      <x:c r="D31" s="8" t="n">
        <x:v>60</x:v>
      </x:c>
      <x:c r="E31" s="8" t="n">
        <x:v>45</x:v>
      </x:c>
      <x:c r="F31" s="8" t="n">
        <x:v>2</x:v>
      </x:c>
      <x:c r="G31" s="8" t="n">
        <x:v>651</x:v>
      </x:c>
      <x:c r="H31" s="8" t="n">
        <x:v>582</x:v>
      </x:c>
      <x:c r="I31" s="12" t="n">
        <x:f>1000/(E31*F31)</x:f>
        <x:v>11.11111111111111</x:v>
      </x:c>
      <x:c r="J31" s="12" t="n">
        <x:f>G31/D31</x:f>
        <x:v>10.85</x:v>
      </x:c>
      <x:c r="K31" s="12" t="n">
        <x:f>H31/D31</x:f>
        <x:v>9.7</x:v>
      </x:c>
    </x:row>
    <x:row r="32" ht="23" customHeight="1">
      <x:c r="A32" s="8" t="n">
        <x:v>7</x:v>
      </x:c>
      <x:c r="B32" s="8" t="n">
        <x:v>2</x:v>
      </x:c>
      <x:c r="C32" s="8" t="n">
        <x:v>3</x:v>
      </x:c>
      <x:c r="D32" s="8" t="n">
        <x:v>60</x:v>
      </x:c>
      <x:c r="E32" s="8" t="n">
        <x:v>45</x:v>
      </x:c>
      <x:c r="F32" s="8" t="n">
        <x:v>2</x:v>
      </x:c>
      <x:c r="G32" s="8" t="n">
        <x:v>660</x:v>
      </x:c>
      <x:c r="H32" s="8" t="n">
        <x:v>600</x:v>
      </x:c>
      <x:c r="I32" s="12" t="n">
        <x:f>1000/(E32*F32)</x:f>
        <x:v>11.11111111111111</x:v>
      </x:c>
      <x:c r="J32" s="12" t="n">
        <x:f>G32/D32</x:f>
        <x:v>11</x:v>
      </x:c>
      <x:c r="K32" s="12" t="n">
        <x:f>H32/D32</x:f>
        <x:v>10</x:v>
      </x:c>
    </x:row>
    <x:row r="33" ht="23" customHeight="1">
      <x:c r="A33" s="8" t="n">
        <x:v>7</x:v>
      </x:c>
      <x:c r="B33" s="8" t="n">
        <x:v>2</x:v>
      </x:c>
      <x:c r="C33" s="8" t="n">
        <x:v>4</x:v>
      </x:c>
      <x:c r="D33" s="8" t="n">
        <x:v>60</x:v>
      </x:c>
      <x:c r="E33" s="8" t="n">
        <x:v>45</x:v>
      </x:c>
      <x:c r="F33" s="8" t="n">
        <x:v>2</x:v>
      </x:c>
      <x:c r="G33" s="8" t="n">
        <x:v>655</x:v>
      </x:c>
      <x:c r="H33" s="8" t="n">
        <x:v>585</x:v>
      </x:c>
      <x:c r="I33" s="12" t="n">
        <x:f>1000/(E33*F33)</x:f>
        <x:v>11.11111111111111</x:v>
      </x:c>
      <x:c r="J33" s="12" t="n">
        <x:f>G33/D33</x:f>
        <x:v>10.916666666666666</x:v>
      </x:c>
      <x:c r="K33" s="12" t="n">
        <x:f>H33/D33</x:f>
        <x:v>9.75</x:v>
      </x:c>
    </x:row>
    <x:row r="34" ht="23" customHeight="1">
      <x:c r="A34" s="8" t="n">
        <x:v>7</x:v>
      </x:c>
      <x:c r="B34" s="8" t="n">
        <x:v>2</x:v>
      </x:c>
      <x:c r="C34" s="8" t="n">
        <x:v>5</x:v>
      </x:c>
      <x:c r="D34" s="8" t="n">
        <x:v>60</x:v>
      </x:c>
      <x:c r="E34" s="8" t="n">
        <x:v>45</x:v>
      </x:c>
      <x:c r="F34" s="8" t="n">
        <x:v>2</x:v>
      </x:c>
      <x:c r="G34" s="8" t="n">
        <x:v>656</x:v>
      </x:c>
      <x:c r="H34" s="8" t="n">
        <x:v>605</x:v>
      </x:c>
      <x:c r="I34" s="12" t="n">
        <x:f>1000/(E34*F34)</x:f>
        <x:v>11.11111111111111</x:v>
      </x:c>
      <x:c r="J34" s="12" t="n">
        <x:f>G34/D34</x:f>
        <x:v>10.933333333333334</x:v>
      </x:c>
      <x:c r="K34" s="12" t="n">
        <x:f>H34/D34</x:f>
        <x:v>10.083333333333334</x:v>
      </x:c>
    </x:row>
    <x:row r="35" ht="23" customHeight="1">
      <x:c r="A35" s="8" t="n">
        <x:v>8</x:v>
      </x:c>
      <x:c r="B35" s="8" t="n">
        <x:v>1</x:v>
      </x:c>
      <x:c r="C35" s="8" t="n">
        <x:v>1</x:v>
      </x:c>
      <x:c r="D35" s="8" t="n">
        <x:v>60</x:v>
      </x:c>
      <x:c r="E35" s="8" t="n">
        <x:v>45</x:v>
      </x:c>
      <x:c r="F35" s="8" t="n">
        <x:v>2</x:v>
      </x:c>
      <x:c r="G35" s="8" t="n">
        <x:v>655</x:v>
      </x:c>
      <x:c r="H35" s="8" t="n">
        <x:v>625</x:v>
      </x:c>
      <x:c r="I35" s="12" t="n">
        <x:f>1000/(E35*F35)</x:f>
        <x:v>11.11111111111111</x:v>
      </x:c>
      <x:c r="J35" s="12" t="n">
        <x:f>G35/D35</x:f>
        <x:v>10.916666666666666</x:v>
      </x:c>
      <x:c r="K35" s="12" t="n">
        <x:f>H35/D35</x:f>
        <x:v>10.416666666666666</x:v>
      </x:c>
    </x:row>
    <x:row r="36" ht="23" customHeight="1">
      <x:c r="A36" s="8" t="n">
        <x:v>8</x:v>
      </x:c>
      <x:c r="B36" s="8" t="n">
        <x:v>1</x:v>
      </x:c>
      <x:c r="C36" s="8" t="n">
        <x:v>2</x:v>
      </x:c>
      <x:c r="D36" s="8" t="n">
        <x:v>60</x:v>
      </x:c>
      <x:c r="E36" s="8" t="n">
        <x:v>45</x:v>
      </x:c>
      <x:c r="F36" s="8" t="n">
        <x:v>2</x:v>
      </x:c>
      <x:c r="G36" s="8" t="n">
        <x:v>655</x:v>
      </x:c>
      <x:c r="H36" s="8" t="n">
        <x:v>625</x:v>
      </x:c>
      <x:c r="I36" s="12" t="n">
        <x:f>1000/(E36*F36)</x:f>
        <x:v>11.11111111111111</x:v>
      </x:c>
      <x:c r="J36" s="12" t="n">
        <x:f>G36/D36</x:f>
        <x:v>10.916666666666666</x:v>
      </x:c>
      <x:c r="K36" s="12" t="n">
        <x:f>H36/D36</x:f>
        <x:v>10.416666666666666</x:v>
      </x:c>
    </x:row>
    <x:row r="37" ht="23" customHeight="1">
      <x:c r="A37" s="8" t="n">
        <x:v>8</x:v>
      </x:c>
      <x:c r="B37" s="8" t="n">
        <x:v>1</x:v>
      </x:c>
      <x:c r="C37" s="8" t="n">
        <x:v>3</x:v>
      </x:c>
      <x:c r="D37" s="8" t="n">
        <x:v>60</x:v>
      </x:c>
      <x:c r="E37" s="8" t="n">
        <x:v>45</x:v>
      </x:c>
      <x:c r="F37" s="8" t="n">
        <x:v>2</x:v>
      </x:c>
      <x:c r="G37" s="8" t="n">
        <x:v>652</x:v>
      </x:c>
      <x:c r="H37" s="8" t="n">
        <x:v>624</x:v>
      </x:c>
      <x:c r="I37" s="12" t="n">
        <x:f>1000/(E37*F37)</x:f>
        <x:v>11.11111111111111</x:v>
      </x:c>
      <x:c r="J37" s="12" t="n">
        <x:f>G37/D37</x:f>
        <x:v>10.866666666666667</x:v>
      </x:c>
      <x:c r="K37" s="12" t="n">
        <x:f>H37/D37</x:f>
        <x:v>10.4</x:v>
      </x:c>
    </x:row>
    <x:row r="38" ht="23" customHeight="1">
      <x:c r="A38" s="8" t="n">
        <x:v>8</x:v>
      </x:c>
      <x:c r="B38" s="8" t="n">
        <x:v>1</x:v>
      </x:c>
      <x:c r="C38" s="8" t="n">
        <x:v>4</x:v>
      </x:c>
      <x:c r="D38" s="8" t="n">
        <x:v>60</x:v>
      </x:c>
      <x:c r="E38" s="8" t="n">
        <x:v>45</x:v>
      </x:c>
      <x:c r="F38" s="8" t="n">
        <x:v>2</x:v>
      </x:c>
      <x:c r="G38" s="8" t="n">
        <x:v>662</x:v>
      </x:c>
      <x:c r="H38" s="8" t="n">
        <x:v>635</x:v>
      </x:c>
      <x:c r="I38" s="12" t="n">
        <x:f>1000/(E38*F38)</x:f>
        <x:v>11.11111111111111</x:v>
      </x:c>
      <x:c r="J38" s="12" t="n">
        <x:f>G38/D38</x:f>
        <x:v>11.033333333333333</x:v>
      </x:c>
      <x:c r="K38" s="12" t="n">
        <x:f>H38/D38</x:f>
        <x:v>10.583333333333334</x:v>
      </x:c>
    </x:row>
    <x:row r="39" ht="23" customHeight="1">
      <x:c r="A39" s="8" t="n">
        <x:v>8</x:v>
      </x:c>
      <x:c r="B39" s="8" t="n">
        <x:v>1</x:v>
      </x:c>
      <x:c r="C39" s="8" t="n">
        <x:v>5</x:v>
      </x:c>
      <x:c r="D39" s="8" t="n">
        <x:v>60</x:v>
      </x:c>
      <x:c r="E39" s="8" t="n">
        <x:v>45</x:v>
      </x:c>
      <x:c r="F39" s="8" t="n">
        <x:v>2</x:v>
      </x:c>
      <x:c r="G39" s="8" t="n">
        <x:v>651</x:v>
      </x:c>
      <x:c r="H39" s="8" t="n">
        <x:v>603</x:v>
      </x:c>
      <x:c r="I39" s="12" t="n">
        <x:f>1000/(E39*F39)</x:f>
        <x:v>11.11111111111111</x:v>
      </x:c>
      <x:c r="J39" s="12" t="n">
        <x:f>G39/D39</x:f>
        <x:v>10.85</x:v>
      </x:c>
      <x:c r="K39" s="12" t="n">
        <x:f>H39/D39</x:f>
        <x:v>10.05</x:v>
      </x:c>
    </x:row>
    <x:row r="40" ht="23" customHeight="1">
      <x:c r="A40" s="8" t="n">
        <x:v>8</x:v>
      </x:c>
      <x:c r="B40" s="8" t="n">
        <x:v>2</x:v>
      </x:c>
      <x:c r="C40" s="8" t="n">
        <x:v>1</x:v>
      </x:c>
      <x:c r="D40" s="8" t="n">
        <x:v>60</x:v>
      </x:c>
      <x:c r="E40" s="8" t="n">
        <x:v>45</x:v>
      </x:c>
      <x:c r="F40" s="8" t="n">
        <x:v>2</x:v>
      </x:c>
      <x:c r="G40" s="8" t="n">
        <x:v>652</x:v>
      </x:c>
      <x:c r="H40" s="8" t="n">
        <x:v>606</x:v>
      </x:c>
      <x:c r="I40" s="12" t="n">
        <x:f>1000/(E40*F40)</x:f>
        <x:v>11.11111111111111</x:v>
      </x:c>
      <x:c r="J40" s="12" t="n">
        <x:f>G40/D40</x:f>
        <x:v>10.866666666666667</x:v>
      </x:c>
      <x:c r="K40" s="12" t="n">
        <x:f>H40/D40</x:f>
        <x:v>10.1</x:v>
      </x:c>
    </x:row>
    <x:row r="41" ht="23" customHeight="1">
      <x:c r="A41" s="8" t="n">
        <x:v>8</x:v>
      </x:c>
      <x:c r="B41" s="8" t="n">
        <x:v>2</x:v>
      </x:c>
      <x:c r="C41" s="8" t="n">
        <x:v>2</x:v>
      </x:c>
      <x:c r="D41" s="8" t="n">
        <x:v>60</x:v>
      </x:c>
      <x:c r="E41" s="8" t="n">
        <x:v>45</x:v>
      </x:c>
      <x:c r="F41" s="8" t="n">
        <x:v>2</x:v>
      </x:c>
      <x:c r="G41" s="8" t="n">
        <x:v>658</x:v>
      </x:c>
      <x:c r="H41" s="8" t="n">
        <x:v>620</x:v>
      </x:c>
      <x:c r="I41" s="12" t="n">
        <x:f>1000/(E41*F41)</x:f>
        <x:v>11.11111111111111</x:v>
      </x:c>
      <x:c r="J41" s="12" t="n">
        <x:f>G41/D41</x:f>
        <x:v>10.966666666666667</x:v>
      </x:c>
      <x:c r="K41" s="12" t="n">
        <x:f>H41/D41</x:f>
        <x:v>10.333333333333334</x:v>
      </x:c>
    </x:row>
    <x:row r="42" ht="23" customHeight="1">
      <x:c r="A42" s="8" t="n">
        <x:v>8</x:v>
      </x:c>
      <x:c r="B42" s="8" t="n">
        <x:v>2</x:v>
      </x:c>
      <x:c r="C42" s="8" t="n">
        <x:v>3</x:v>
      </x:c>
      <x:c r="D42" s="8" t="n">
        <x:v>60</x:v>
      </x:c>
      <x:c r="E42" s="8" t="n">
        <x:v>45</x:v>
      </x:c>
      <x:c r="F42" s="8" t="n">
        <x:v>2</x:v>
      </x:c>
      <x:c r="G42" s="8" t="n">
        <x:v>658</x:v>
      </x:c>
      <x:c r="H42" s="8" t="n">
        <x:v>610</x:v>
      </x:c>
      <x:c r="I42" s="12" t="n">
        <x:f>1000/(E42*F42)</x:f>
        <x:v>11.11111111111111</x:v>
      </x:c>
      <x:c r="J42" s="12" t="n">
        <x:f>G42/D42</x:f>
        <x:v>10.966666666666667</x:v>
      </x:c>
      <x:c r="K42" s="12" t="n">
        <x:f>H42/D42</x:f>
        <x:v>10.166666666666666</x:v>
      </x:c>
    </x:row>
    <x:row r="43" ht="23" customHeight="1">
      <x:c r="A43" s="8" t="n">
        <x:v>8</x:v>
      </x:c>
      <x:c r="B43" s="8" t="n">
        <x:v>2</x:v>
      </x:c>
      <x:c r="C43" s="8" t="n">
        <x:v>4</x:v>
      </x:c>
      <x:c r="D43" s="8" t="n">
        <x:v>60</x:v>
      </x:c>
      <x:c r="E43" s="8" t="n">
        <x:v>45</x:v>
      </x:c>
      <x:c r="F43" s="8" t="n">
        <x:v>2</x:v>
      </x:c>
      <x:c r="G43" s="8" t="n">
        <x:v>659</x:v>
      </x:c>
      <x:c r="H43" s="8" t="n">
        <x:v>634</x:v>
      </x:c>
      <x:c r="I43" s="12" t="n">
        <x:f>1000/(E43*F43)</x:f>
        <x:v>11.11111111111111</x:v>
      </x:c>
      <x:c r="J43" s="12" t="n">
        <x:f>G43/D43</x:f>
        <x:v>10.983333333333333</x:v>
      </x:c>
      <x:c r="K43" s="12" t="n">
        <x:f>H43/D43</x:f>
        <x:v>10.566666666666666</x:v>
      </x:c>
    </x:row>
    <x:row r="44" ht="23" customHeight="1">
      <x:c r="A44" s="8" t="n">
        <x:v>8</x:v>
      </x:c>
      <x:c r="B44" s="8" t="n">
        <x:v>2</x:v>
      </x:c>
      <x:c r="C44" s="8" t="n">
        <x:v>5</x:v>
      </x:c>
      <x:c r="D44" s="8" t="n">
        <x:v>60</x:v>
      </x:c>
      <x:c r="E44" s="8" t="n">
        <x:v>45</x:v>
      </x:c>
      <x:c r="F44" s="8" t="n">
        <x:v>2</x:v>
      </x:c>
      <x:c r="G44" s="8" t="n">
        <x:v>659</x:v>
      </x:c>
      <x:c r="H44" s="8" t="n">
        <x:v>614</x:v>
      </x:c>
      <x:c r="I44" s="12" t="n">
        <x:f>1000/(E44*F44)</x:f>
        <x:v>11.11111111111111</x:v>
      </x:c>
      <x:c r="J44" s="12" t="n">
        <x:f>G44/D44</x:f>
        <x:v>10.983333333333333</x:v>
      </x:c>
      <x:c r="K44" s="12" t="n">
        <x:f>H44/D44</x:f>
        <x:v>10.233333333333333</x:v>
      </x:c>
    </x:row>
    <x:row r="45" ht="23" customHeight="1">
      <x:c r="A45" s="8" t="n">
        <x:v>9</x:v>
      </x:c>
      <x:c r="B45" s="8" t="n">
        <x:v>1</x:v>
      </x:c>
      <x:c r="C45" s="8" t="n">
        <x:v>1</x:v>
      </x:c>
      <x:c r="D45" s="8" t="n">
        <x:v>60</x:v>
      </x:c>
      <x:c r="E45" s="8" t="n">
        <x:v>45</x:v>
      </x:c>
      <x:c r="F45" s="8" t="n">
        <x:v>2</x:v>
      </x:c>
      <x:c r="G45" s="8" t="n">
        <x:v>654</x:v>
      </x:c>
      <x:c r="H45" s="8" t="n">
        <x:v>631</x:v>
      </x:c>
      <x:c r="I45" s="12" t="n">
        <x:f>1000/(E45*F45)</x:f>
        <x:v>11.11111111111111</x:v>
      </x:c>
      <x:c r="J45" s="12" t="n">
        <x:f>G45/D45</x:f>
        <x:v>10.9</x:v>
      </x:c>
      <x:c r="K45" s="12" t="n">
        <x:f>H45/D45</x:f>
        <x:v>10.516666666666667</x:v>
      </x:c>
    </x:row>
    <x:row r="46" ht="23" customHeight="1">
      <x:c r="A46" s="8" t="n">
        <x:v>9</x:v>
      </x:c>
      <x:c r="B46" s="8" t="n">
        <x:v>1</x:v>
      </x:c>
      <x:c r="C46" s="8" t="n">
        <x:v>2</x:v>
      </x:c>
      <x:c r="D46" s="8" t="n">
        <x:v>60</x:v>
      </x:c>
      <x:c r="E46" s="8" t="n">
        <x:v>45</x:v>
      </x:c>
      <x:c r="F46" s="8" t="n">
        <x:v>2</x:v>
      </x:c>
      <x:c r="G46" s="8" t="n">
        <x:v>655</x:v>
      </x:c>
      <x:c r="H46" s="8" t="n">
        <x:v>642</x:v>
      </x:c>
      <x:c r="I46" s="12" t="n">
        <x:f>1000/(E46*F46)</x:f>
        <x:v>11.11111111111111</x:v>
      </x:c>
      <x:c r="J46" s="12" t="n">
        <x:f>G46/D46</x:f>
        <x:v>10.916666666666666</x:v>
      </x:c>
      <x:c r="K46" s="12" t="n">
        <x:f>H46/D46</x:f>
        <x:v>10.7</x:v>
      </x:c>
    </x:row>
    <x:row r="47" ht="23" customHeight="1">
      <x:c r="A47" s="8" t="n">
        <x:v>9</x:v>
      </x:c>
      <x:c r="B47" s="8" t="n">
        <x:v>1</x:v>
      </x:c>
      <x:c r="C47" s="8" t="n">
        <x:v>3</x:v>
      </x:c>
      <x:c r="D47" s="8" t="n">
        <x:v>60</x:v>
      </x:c>
      <x:c r="E47" s="8" t="n">
        <x:v>45</x:v>
      </x:c>
      <x:c r="F47" s="8" t="n">
        <x:v>2</x:v>
      </x:c>
      <x:c r="G47" s="8" t="n">
        <x:v>657</x:v>
      </x:c>
      <x:c r="H47" s="8" t="n">
        <x:v>625</x:v>
      </x:c>
      <x:c r="I47" s="12" t="n">
        <x:f>1000/(E47*F47)</x:f>
        <x:v>11.11111111111111</x:v>
      </x:c>
      <x:c r="J47" s="12" t="n">
        <x:f>G47/D47</x:f>
        <x:v>10.95</x:v>
      </x:c>
      <x:c r="K47" s="12" t="n">
        <x:f>H47/D47</x:f>
        <x:v>10.416666666666666</x:v>
      </x:c>
    </x:row>
    <x:row r="48" ht="23" customHeight="1">
      <x:c r="A48" s="8" t="n">
        <x:v>9</x:v>
      </x:c>
      <x:c r="B48" s="8" t="n">
        <x:v>1</x:v>
      </x:c>
      <x:c r="C48" s="8" t="n">
        <x:v>4</x:v>
      </x:c>
      <x:c r="D48" s="8" t="n">
        <x:v>60</x:v>
      </x:c>
      <x:c r="E48" s="8" t="n">
        <x:v>45</x:v>
      </x:c>
      <x:c r="F48" s="8" t="n">
        <x:v>2</x:v>
      </x:c>
      <x:c r="G48" s="8" t="n">
        <x:v>662</x:v>
      </x:c>
      <x:c r="H48" s="8" t="n">
        <x:v>640</x:v>
      </x:c>
      <x:c r="I48" s="12" t="n">
        <x:f>1000/(E48*F48)</x:f>
        <x:v>11.11111111111111</x:v>
      </x:c>
      <x:c r="J48" s="12" t="n">
        <x:f>G48/D48</x:f>
        <x:v>11.033333333333333</x:v>
      </x:c>
      <x:c r="K48" s="12" t="n">
        <x:f>H48/D48</x:f>
        <x:v>10.666666666666666</x:v>
      </x:c>
    </x:row>
    <x:row r="49" ht="23" customHeight="1">
      <x:c r="A49" s="8" t="n">
        <x:v>9</x:v>
      </x:c>
      <x:c r="B49" s="8" t="n">
        <x:v>1</x:v>
      </x:c>
      <x:c r="C49" s="8" t="n">
        <x:v>5</x:v>
      </x:c>
      <x:c r="D49" s="8" t="n">
        <x:v>60</x:v>
      </x:c>
      <x:c r="E49" s="8" t="n">
        <x:v>45</x:v>
      </x:c>
      <x:c r="F49" s="8" t="n">
        <x:v>2</x:v>
      </x:c>
      <x:c r="G49" s="8" t="n">
        <x:v>663</x:v>
      </x:c>
      <x:c r="H49" s="8" t="n">
        <x:v>654</x:v>
      </x:c>
      <x:c r="I49" s="12" t="n">
        <x:f>1000/(E49*F49)</x:f>
        <x:v>11.11111111111111</x:v>
      </x:c>
      <x:c r="J49" s="12" t="n">
        <x:f>G49/D49</x:f>
        <x:v>11.05</x:v>
      </x:c>
      <x:c r="K49" s="12" t="n">
        <x:f>H49/D49</x:f>
        <x:v>10.9</x:v>
      </x:c>
    </x:row>
    <x:row r="50" ht="23" customHeight="1">
      <x:c r="A50" s="8" t="n">
        <x:v>9</x:v>
      </x:c>
      <x:c r="B50" s="8" t="n">
        <x:v>2</x:v>
      </x:c>
      <x:c r="C50" s="8" t="n">
        <x:v>1</x:v>
      </x:c>
      <x:c r="D50" s="8" t="n">
        <x:v>60</x:v>
      </x:c>
      <x:c r="E50" s="8" t="n">
        <x:v>45</x:v>
      </x:c>
      <x:c r="F50" s="8" t="n">
        <x:v>2</x:v>
      </x:c>
      <x:c r="G50" s="8" t="n">
        <x:v>657</x:v>
      </x:c>
      <x:c r="H50" s="8" t="n">
        <x:v>636</x:v>
      </x:c>
      <x:c r="I50" s="12" t="n">
        <x:f>1000/(E50*F50)</x:f>
        <x:v>11.11111111111111</x:v>
      </x:c>
      <x:c r="J50" s="12" t="n">
        <x:f>G50/D50</x:f>
        <x:v>10.95</x:v>
      </x:c>
      <x:c r="K50" s="12" t="n">
        <x:f>H50/D50</x:f>
        <x:v>10.6</x:v>
      </x:c>
    </x:row>
    <x:row r="51" ht="23" customHeight="1">
      <x:c r="A51" s="8" t="n">
        <x:v>9</x:v>
      </x:c>
      <x:c r="B51" s="8" t="n">
        <x:v>2</x:v>
      </x:c>
      <x:c r="C51" s="8" t="n">
        <x:v>2</x:v>
      </x:c>
      <x:c r="D51" s="8" t="n">
        <x:v>60</x:v>
      </x:c>
      <x:c r="E51" s="8" t="n">
        <x:v>45</x:v>
      </x:c>
      <x:c r="F51" s="8" t="n">
        <x:v>2</x:v>
      </x:c>
      <x:c r="G51" s="8" t="n">
        <x:v>657</x:v>
      </x:c>
      <x:c r="H51" s="8" t="n">
        <x:v>638</x:v>
      </x:c>
      <x:c r="I51" s="12" t="n">
        <x:f>1000/(E51*F51)</x:f>
        <x:v>11.11111111111111</x:v>
      </x:c>
      <x:c r="J51" s="12" t="n">
        <x:f>G51/D51</x:f>
        <x:v>10.95</x:v>
      </x:c>
      <x:c r="K51" s="12" t="n">
        <x:f>H51/D51</x:f>
        <x:v>10.633333333333333</x:v>
      </x:c>
    </x:row>
    <x:row r="52" ht="23" customHeight="1">
      <x:c r="A52" s="8" t="n">
        <x:v>9</x:v>
      </x:c>
      <x:c r="B52" s="8" t="n">
        <x:v>2</x:v>
      </x:c>
      <x:c r="C52" s="8" t="n">
        <x:v>3</x:v>
      </x:c>
      <x:c r="D52" s="8" t="n">
        <x:v>60</x:v>
      </x:c>
      <x:c r="E52" s="8" t="n">
        <x:v>45</x:v>
      </x:c>
      <x:c r="F52" s="8" t="n">
        <x:v>2</x:v>
      </x:c>
      <x:c r="G52" s="8" t="n">
        <x:v>651</x:v>
      </x:c>
      <x:c r="H52" s="8" t="n">
        <x:v>620</x:v>
      </x:c>
      <x:c r="I52" s="12" t="n">
        <x:f>1000/(E52*F52)</x:f>
        <x:v>11.11111111111111</x:v>
      </x:c>
      <x:c r="J52" s="12" t="n">
        <x:f>G52/D52</x:f>
        <x:v>10.85</x:v>
      </x:c>
      <x:c r="K52" s="12" t="n">
        <x:f>H52/D52</x:f>
        <x:v>10.333333333333334</x:v>
      </x:c>
    </x:row>
    <x:row r="53" ht="23" customHeight="1">
      <x:c r="A53" s="8" t="n">
        <x:v>9</x:v>
      </x:c>
      <x:c r="B53" s="8" t="n">
        <x:v>2</x:v>
      </x:c>
      <x:c r="C53" s="8" t="n">
        <x:v>4</x:v>
      </x:c>
      <x:c r="D53" s="8" t="n">
        <x:v>60</x:v>
      </x:c>
      <x:c r="E53" s="8" t="n">
        <x:v>45</x:v>
      </x:c>
      <x:c r="F53" s="8" t="n">
        <x:v>2</x:v>
      </x:c>
      <x:c r="G53" s="8" t="n">
        <x:v>653</x:v>
      </x:c>
      <x:c r="H53" s="8" t="n">
        <x:v>634</x:v>
      </x:c>
      <x:c r="I53" s="12" t="n">
        <x:f>1000/(E53*F53)</x:f>
        <x:v>11.11111111111111</x:v>
      </x:c>
      <x:c r="J53" s="12" t="n">
        <x:f>G53/D53</x:f>
        <x:v>10.883333333333333</x:v>
      </x:c>
      <x:c r="K53" s="12" t="n">
        <x:f>H53/D53</x:f>
        <x:v>10.566666666666666</x:v>
      </x:c>
    </x:row>
    <x:row r="54" ht="23" customHeight="1">
      <x:c r="A54" s="8" t="n">
        <x:v>9</x:v>
      </x:c>
      <x:c r="B54" s="8" t="n">
        <x:v>2</x:v>
      </x:c>
      <x:c r="C54" s="8" t="n">
        <x:v>5</x:v>
      </x:c>
      <x:c r="D54" s="8" t="n">
        <x:v>60</x:v>
      </x:c>
      <x:c r="E54" s="8" t="n">
        <x:v>45</x:v>
      </x:c>
      <x:c r="F54" s="8" t="n">
        <x:v>2</x:v>
      </x:c>
      <x:c r="G54" s="8" t="n">
        <x:v>661</x:v>
      </x:c>
      <x:c r="H54" s="8" t="n">
        <x:v>640</x:v>
      </x:c>
      <x:c r="I54" s="12" t="n">
        <x:f>1000/(E54*F54)</x:f>
        <x:v>11.11111111111111</x:v>
      </x:c>
      <x:c r="J54" s="12" t="n">
        <x:f>G54/D54</x:f>
        <x:v>11.016666666666667</x:v>
      </x:c>
      <x:c r="K54" s="12" t="n">
        <x:f>H54/D54</x:f>
        <x:v>10.666666666666666</x:v>
      </x:c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</x:sheetData>
  <x:pageMargins left="0.7" right="0.7" top="0.75" bottom="0.75" header="0.3" footer="0.3"/>
  <x:tableParts count="1">
    <x:tablePart xmlns:r="http://schemas.openxmlformats.org/officeDocument/2006/relationships" r:id="R6f34a936bec94f7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4" hidden="0" customWidth="1"/>
    <x:col min="4" max="4" width="21" hidden="0" customWidth="1"/>
    <x:col min="5" max="5" width="20" hidden="0" customWidth="1"/>
    <x:col min="6" max="6" width="28" hidden="0" customWidth="1"/>
    <x:col min="7" max="7" width="24" hidden="0" customWidth="1"/>
  </x:cols>
  <x:sheetData>
    <x:row r="1" ht="23" customHeight="1">
      <x:c r="A1" s="2" t="str">
        <x:v>Communication latency - synthetic trials</x:v>
      </x:c>
      <x:c r="B1" s="1"/>
      <x:c r="C1" s="1"/>
      <x:c r="D1" s="1"/>
      <x:c r="E1" s="1"/>
      <x:c r="F1" s="1"/>
      <x:c r="G1" s="1"/>
    </x:row>
    <x:row r="2" ht="23" customHeight="1">
      <x:c r="A2" s="3" t="str">
        <x:v>SYNTHETIC: computer-to-access-point HTTP RTT. No real latency trials were supplied.</x:v>
      </x:c>
      <x:c r="B2" s="1"/>
      <x:c r="C2" s="1"/>
      <x:c r="D2" s="1"/>
      <x:c r="E2" s="1"/>
      <x:c r="F2" s="1"/>
      <x:c r="G2" s="1"/>
    </x:row>
    <x:row r="3" ht="23" customHeight="1">
      <x:c r="A3" s="1"/>
      <x:c r="B3" s="1"/>
      <x:c r="C3" s="1"/>
      <x:c r="D3" s="1"/>
      <x:c r="E3" s="1"/>
      <x:c r="F3" s="1"/>
      <x:c r="G3" s="1"/>
    </x:row>
    <x:row r="4" ht="38" customHeight="1">
      <x:c r="A4" s="6" t="str">
        <x:v>Week</x:v>
      </x:c>
      <x:c r="B4" s="6" t="str">
        <x:v>Request</x:v>
      </x:c>
      <x:c r="C4" s="6" t="str">
        <x:v>Link</x:v>
      </x:c>
      <x:c r="D4" s="6" t="str">
        <x:v>Browser poll (ms)</x:v>
      </x:c>
      <x:c r="E4" s="6" t="str">
        <x:v>HTTP RTT (ms)</x:v>
      </x:c>
      <x:c r="F4" s="6" t="str">
        <x:v>Scenario</x:v>
      </x:c>
      <x:c r="G4" s="6" t="str">
        <x:v>Poll ceiling (Hz)</x:v>
      </x:c>
    </x:row>
    <x:row r="5" ht="23" customHeight="1">
      <x:c r="A5" s="8" t="n">
        <x:v>5</x:v>
      </x:c>
      <x:c r="B5" s="8" t="n">
        <x:v>1</x:v>
      </x:c>
      <x:c r="C5" s="7" t="str">
        <x:v>Computer &lt;-&gt; ESP32 AP</x:v>
      </x:c>
      <x:c r="D5" s="8" t="n">
        <x:v>75</x:v>
      </x:c>
      <x:c r="E5" s="7" t="n">
        <x:v>28.5</x:v>
      </x:c>
      <x:c r="F5" s="7" t="str">
        <x:v>Synthetic normal variation</x:v>
      </x:c>
      <x:c r="G5" s="12" t="n">
        <x:f>1000/D5</x:f>
        <x:v>13.333333333333334</x:v>
      </x:c>
    </x:row>
    <x:row r="6" ht="23" customHeight="1">
      <x:c r="A6" s="8" t="n">
        <x:v>5</x:v>
      </x:c>
      <x:c r="B6" s="8" t="n">
        <x:v>2</x:v>
      </x:c>
      <x:c r="C6" s="7" t="str">
        <x:v>Computer &lt;-&gt; ESP32 AP</x:v>
      </x:c>
      <x:c r="D6" s="8" t="n">
        <x:v>75</x:v>
      </x:c>
      <x:c r="E6" s="7" t="n">
        <x:v>24.5</x:v>
      </x:c>
      <x:c r="F6" s="7" t="str">
        <x:v>Synthetic normal variation</x:v>
      </x:c>
      <x:c r="G6" s="12" t="n">
        <x:f>1000/D6</x:f>
        <x:v>13.333333333333334</x:v>
      </x:c>
    </x:row>
    <x:row r="7" ht="23" customHeight="1">
      <x:c r="A7" s="8" t="n">
        <x:v>5</x:v>
      </x:c>
      <x:c r="B7" s="8" t="n">
        <x:v>3</x:v>
      </x:c>
      <x:c r="C7" s="7" t="str">
        <x:v>Computer &lt;-&gt; ESP32 AP</x:v>
      </x:c>
      <x:c r="D7" s="8" t="n">
        <x:v>75</x:v>
      </x:c>
      <x:c r="E7" s="7" t="n">
        <x:v>24.4</x:v>
      </x:c>
      <x:c r="F7" s="7" t="str">
        <x:v>Synthetic normal variation</x:v>
      </x:c>
      <x:c r="G7" s="12" t="n">
        <x:f>1000/D7</x:f>
        <x:v>13.333333333333334</x:v>
      </x:c>
    </x:row>
    <x:row r="8" ht="23" customHeight="1">
      <x:c r="A8" s="8" t="n">
        <x:v>5</x:v>
      </x:c>
      <x:c r="B8" s="8" t="n">
        <x:v>4</x:v>
      </x:c>
      <x:c r="C8" s="7" t="str">
        <x:v>Computer &lt;-&gt; ESP32 AP</x:v>
      </x:c>
      <x:c r="D8" s="8" t="n">
        <x:v>75</x:v>
      </x:c>
      <x:c r="E8" s="7" t="n">
        <x:v>24.9</x:v>
      </x:c>
      <x:c r="F8" s="7" t="str">
        <x:v>Synthetic normal variation</x:v>
      </x:c>
      <x:c r="G8" s="12" t="n">
        <x:f>1000/D8</x:f>
        <x:v>13.333333333333334</x:v>
      </x:c>
    </x:row>
    <x:row r="9" ht="23" customHeight="1">
      <x:c r="A9" s="8" t="n">
        <x:v>5</x:v>
      </x:c>
      <x:c r="B9" s="8" t="n">
        <x:v>5</x:v>
      </x:c>
      <x:c r="C9" s="7" t="str">
        <x:v>Computer &lt;-&gt; ESP32 AP</x:v>
      </x:c>
      <x:c r="D9" s="8" t="n">
        <x:v>75</x:v>
      </x:c>
      <x:c r="E9" s="7" t="n">
        <x:v>27.3</x:v>
      </x:c>
      <x:c r="F9" s="7" t="str">
        <x:v>Synthetic normal variation</x:v>
      </x:c>
      <x:c r="G9" s="12" t="n">
        <x:f>1000/D9</x:f>
        <x:v>13.333333333333334</x:v>
      </x:c>
    </x:row>
    <x:row r="10" ht="23" customHeight="1">
      <x:c r="A10" s="8" t="n">
        <x:v>5</x:v>
      </x:c>
      <x:c r="B10" s="8" t="n">
        <x:v>6</x:v>
      </x:c>
      <x:c r="C10" s="7" t="str">
        <x:v>Computer &lt;-&gt; ESP32 AP</x:v>
      </x:c>
      <x:c r="D10" s="8" t="n">
        <x:v>75</x:v>
      </x:c>
      <x:c r="E10" s="7" t="n">
        <x:v>43.5</x:v>
      </x:c>
      <x:c r="F10" s="7" t="str">
        <x:v>Synthetic normal variation</x:v>
      </x:c>
      <x:c r="G10" s="12" t="n">
        <x:f>1000/D10</x:f>
        <x:v>13.333333333333334</x:v>
      </x:c>
    </x:row>
    <x:row r="11" ht="23" customHeight="1">
      <x:c r="A11" s="8" t="n">
        <x:v>5</x:v>
      </x:c>
      <x:c r="B11" s="8" t="n">
        <x:v>7</x:v>
      </x:c>
      <x:c r="C11" s="7" t="str">
        <x:v>Computer &lt;-&gt; ESP32 AP</x:v>
      </x:c>
      <x:c r="D11" s="8" t="n">
        <x:v>75</x:v>
      </x:c>
      <x:c r="E11" s="7" t="n">
        <x:v>21.9</x:v>
      </x:c>
      <x:c r="F11" s="7" t="str">
        <x:v>Synthetic normal variation</x:v>
      </x:c>
      <x:c r="G11" s="12" t="n">
        <x:f>1000/D11</x:f>
        <x:v>13.333333333333334</x:v>
      </x:c>
    </x:row>
    <x:row r="12" ht="23" customHeight="1">
      <x:c r="A12" s="8" t="n">
        <x:v>5</x:v>
      </x:c>
      <x:c r="B12" s="8" t="n">
        <x:v>8</x:v>
      </x:c>
      <x:c r="C12" s="7" t="str">
        <x:v>Computer &lt;-&gt; ESP32 AP</x:v>
      </x:c>
      <x:c r="D12" s="8" t="n">
        <x:v>75</x:v>
      </x:c>
      <x:c r="E12" s="7" t="n">
        <x:v>31</x:v>
      </x:c>
      <x:c r="F12" s="7" t="str">
        <x:v>Synthetic normal variation</x:v>
      </x:c>
      <x:c r="G12" s="12" t="n">
        <x:f>1000/D12</x:f>
        <x:v>13.333333333333334</x:v>
      </x:c>
    </x:row>
    <x:row r="13" ht="23" customHeight="1">
      <x:c r="A13" s="8" t="n">
        <x:v>5</x:v>
      </x:c>
      <x:c r="B13" s="8" t="n">
        <x:v>9</x:v>
      </x:c>
      <x:c r="C13" s="7" t="str">
        <x:v>Computer &lt;-&gt; ESP32 AP</x:v>
      </x:c>
      <x:c r="D13" s="8" t="n">
        <x:v>75</x:v>
      </x:c>
      <x:c r="E13" s="7" t="n">
        <x:v>40.5</x:v>
      </x:c>
      <x:c r="F13" s="7" t="str">
        <x:v>Synthetic normal variation</x:v>
      </x:c>
      <x:c r="G13" s="12" t="n">
        <x:f>1000/D13</x:f>
        <x:v>13.333333333333334</x:v>
      </x:c>
    </x:row>
    <x:row r="14" ht="23" customHeight="1">
      <x:c r="A14" s="8" t="n">
        <x:v>5</x:v>
      </x:c>
      <x:c r="B14" s="8" t="n">
        <x:v>10</x:v>
      </x:c>
      <x:c r="C14" s="7" t="str">
        <x:v>Computer &lt;-&gt; ESP32 AP</x:v>
      </x:c>
      <x:c r="D14" s="8" t="n">
        <x:v>75</x:v>
      </x:c>
      <x:c r="E14" s="7" t="n">
        <x:v>23.5</x:v>
      </x:c>
      <x:c r="F14" s="7" t="str">
        <x:v>Synthetic normal variation</x:v>
      </x:c>
      <x:c r="G14" s="12" t="n">
        <x:f>1000/D14</x:f>
        <x:v>13.333333333333334</x:v>
      </x:c>
    </x:row>
    <x:row r="15" ht="23" customHeight="1">
      <x:c r="A15" s="8" t="n">
        <x:v>5</x:v>
      </x:c>
      <x:c r="B15" s="8" t="n">
        <x:v>11</x:v>
      </x:c>
      <x:c r="C15" s="7" t="str">
        <x:v>Computer &lt;-&gt; ESP32 AP</x:v>
      </x:c>
      <x:c r="D15" s="8" t="n">
        <x:v>75</x:v>
      </x:c>
      <x:c r="E15" s="7" t="n">
        <x:v>25.3</x:v>
      </x:c>
      <x:c r="F15" s="7" t="str">
        <x:v>Synthetic normal variation</x:v>
      </x:c>
      <x:c r="G15" s="12" t="n">
        <x:f>1000/D15</x:f>
        <x:v>13.333333333333334</x:v>
      </x:c>
    </x:row>
    <x:row r="16" ht="23" customHeight="1">
      <x:c r="A16" s="8" t="n">
        <x:v>5</x:v>
      </x:c>
      <x:c r="B16" s="8" t="n">
        <x:v>12</x:v>
      </x:c>
      <x:c r="C16" s="7" t="str">
        <x:v>Computer &lt;-&gt; ESP32 AP</x:v>
      </x:c>
      <x:c r="D16" s="8" t="n">
        <x:v>75</x:v>
      </x:c>
      <x:c r="E16" s="7" t="n">
        <x:v>25.3</x:v>
      </x:c>
      <x:c r="F16" s="7" t="str">
        <x:v>Synthetic normal variation</x:v>
      </x:c>
      <x:c r="G16" s="12" t="n">
        <x:f>1000/D16</x:f>
        <x:v>13.333333333333334</x:v>
      </x:c>
    </x:row>
    <x:row r="17" ht="23" customHeight="1">
      <x:c r="A17" s="8" t="n">
        <x:v>5</x:v>
      </x:c>
      <x:c r="B17" s="8" t="n">
        <x:v>13</x:v>
      </x:c>
      <x:c r="C17" s="7" t="str">
        <x:v>Computer &lt;-&gt; ESP32 AP</x:v>
      </x:c>
      <x:c r="D17" s="8" t="n">
        <x:v>75</x:v>
      </x:c>
      <x:c r="E17" s="7" t="n">
        <x:v>58</x:v>
      </x:c>
      <x:c r="F17" s="7" t="str">
        <x:v>Simulated delay spike</x:v>
      </x:c>
      <x:c r="G17" s="12" t="n">
        <x:f>1000/D17</x:f>
        <x:v>13.333333333333334</x:v>
      </x:c>
    </x:row>
    <x:row r="18" ht="23" customHeight="1">
      <x:c r="A18" s="8" t="n">
        <x:v>5</x:v>
      </x:c>
      <x:c r="B18" s="8" t="n">
        <x:v>14</x:v>
      </x:c>
      <x:c r="C18" s="7" t="str">
        <x:v>Computer &lt;-&gt; ESP32 AP</x:v>
      </x:c>
      <x:c r="D18" s="8" t="n">
        <x:v>75</x:v>
      </x:c>
      <x:c r="E18" s="7" t="n">
        <x:v>27.1</x:v>
      </x:c>
      <x:c r="F18" s="7" t="str">
        <x:v>Synthetic normal variation</x:v>
      </x:c>
      <x:c r="G18" s="12" t="n">
        <x:f>1000/D18</x:f>
        <x:v>13.333333333333334</x:v>
      </x:c>
    </x:row>
    <x:row r="19" ht="23" customHeight="1">
      <x:c r="A19" s="8" t="n">
        <x:v>5</x:v>
      </x:c>
      <x:c r="B19" s="8" t="n">
        <x:v>15</x:v>
      </x:c>
      <x:c r="C19" s="7" t="str">
        <x:v>Computer &lt;-&gt; ESP32 AP</x:v>
      </x:c>
      <x:c r="D19" s="8" t="n">
        <x:v>75</x:v>
      </x:c>
      <x:c r="E19" s="7" t="n">
        <x:v>26.5</x:v>
      </x:c>
      <x:c r="F19" s="7" t="str">
        <x:v>Synthetic normal variation</x:v>
      </x:c>
      <x:c r="G19" s="12" t="n">
        <x:f>1000/D19</x:f>
        <x:v>13.333333333333334</x:v>
      </x:c>
    </x:row>
    <x:row r="20" ht="23" customHeight="1">
      <x:c r="A20" s="8" t="n">
        <x:v>5</x:v>
      </x:c>
      <x:c r="B20" s="8" t="n">
        <x:v>16</x:v>
      </x:c>
      <x:c r="C20" s="7" t="str">
        <x:v>Computer &lt;-&gt; ESP32 AP</x:v>
      </x:c>
      <x:c r="D20" s="8" t="n">
        <x:v>75</x:v>
      </x:c>
      <x:c r="E20" s="7" t="n">
        <x:v>27.6</x:v>
      </x:c>
      <x:c r="F20" s="7" t="str">
        <x:v>Synthetic normal variation</x:v>
      </x:c>
      <x:c r="G20" s="12" t="n">
        <x:f>1000/D20</x:f>
        <x:v>13.333333333333334</x:v>
      </x:c>
    </x:row>
    <x:row r="21" ht="23" customHeight="1">
      <x:c r="A21" s="8" t="n">
        <x:v>5</x:v>
      </x:c>
      <x:c r="B21" s="8" t="n">
        <x:v>17</x:v>
      </x:c>
      <x:c r="C21" s="7" t="str">
        <x:v>Computer &lt;-&gt; ESP32 AP</x:v>
      </x:c>
      <x:c r="D21" s="8" t="n">
        <x:v>75</x:v>
      </x:c>
      <x:c r="E21" s="7" t="n">
        <x:v>20.8</x:v>
      </x:c>
      <x:c r="F21" s="7" t="str">
        <x:v>Synthetic normal variation</x:v>
      </x:c>
      <x:c r="G21" s="12" t="n">
        <x:f>1000/D21</x:f>
        <x:v>13.333333333333334</x:v>
      </x:c>
    </x:row>
    <x:row r="22" ht="23" customHeight="1">
      <x:c r="A22" s="8" t="n">
        <x:v>5</x:v>
      </x:c>
      <x:c r="B22" s="8" t="n">
        <x:v>18</x:v>
      </x:c>
      <x:c r="C22" s="7" t="str">
        <x:v>Computer &lt;-&gt; ESP32 AP</x:v>
      </x:c>
      <x:c r="D22" s="8" t="n">
        <x:v>75</x:v>
      </x:c>
      <x:c r="E22" s="7" t="n">
        <x:v>27.7</x:v>
      </x:c>
      <x:c r="F22" s="7" t="str">
        <x:v>Synthetic normal variation</x:v>
      </x:c>
      <x:c r="G22" s="12" t="n">
        <x:f>1000/D22</x:f>
        <x:v>13.333333333333334</x:v>
      </x:c>
    </x:row>
    <x:row r="23" ht="23" customHeight="1">
      <x:c r="A23" s="8" t="n">
        <x:v>5</x:v>
      </x:c>
      <x:c r="B23" s="8" t="n">
        <x:v>19</x:v>
      </x:c>
      <x:c r="C23" s="7" t="str">
        <x:v>Computer &lt;-&gt; ESP32 AP</x:v>
      </x:c>
      <x:c r="D23" s="8" t="n">
        <x:v>75</x:v>
      </x:c>
      <x:c r="E23" s="7" t="n">
        <x:v>28.7</x:v>
      </x:c>
      <x:c r="F23" s="7" t="str">
        <x:v>Synthetic normal variation</x:v>
      </x:c>
      <x:c r="G23" s="12" t="n">
        <x:f>1000/D23</x:f>
        <x:v>13.333333333333334</x:v>
      </x:c>
    </x:row>
    <x:row r="24" ht="23" customHeight="1">
      <x:c r="A24" s="8" t="n">
        <x:v>5</x:v>
      </x:c>
      <x:c r="B24" s="8" t="n">
        <x:v>20</x:v>
      </x:c>
      <x:c r="C24" s="7" t="str">
        <x:v>Computer &lt;-&gt; ESP32 AP</x:v>
      </x:c>
      <x:c r="D24" s="8" t="n">
        <x:v>75</x:v>
      </x:c>
      <x:c r="E24" s="7" t="n">
        <x:v>32</x:v>
      </x:c>
      <x:c r="F24" s="7" t="str">
        <x:v>Synthetic normal variation</x:v>
      </x:c>
      <x:c r="G24" s="12" t="n">
        <x:f>1000/D24</x:f>
        <x:v>13.333333333333334</x:v>
      </x:c>
    </x:row>
    <x:row r="25" ht="23" customHeight="1">
      <x:c r="A25" s="8" t="n">
        <x:v>5</x:v>
      </x:c>
      <x:c r="B25" s="8" t="n">
        <x:v>21</x:v>
      </x:c>
      <x:c r="C25" s="7" t="str">
        <x:v>Computer &lt;-&gt; ESP32 AP</x:v>
      </x:c>
      <x:c r="D25" s="8" t="n">
        <x:v>75</x:v>
      </x:c>
      <x:c r="E25" s="7" t="n">
        <x:v>30.4</x:v>
      </x:c>
      <x:c r="F25" s="7" t="str">
        <x:v>Synthetic normal variation</x:v>
      </x:c>
      <x:c r="G25" s="12" t="n">
        <x:f>1000/D25</x:f>
        <x:v>13.333333333333334</x:v>
      </x:c>
    </x:row>
    <x:row r="26" ht="23" customHeight="1">
      <x:c r="A26" s="8" t="n">
        <x:v>5</x:v>
      </x:c>
      <x:c r="B26" s="8" t="n">
        <x:v>22</x:v>
      </x:c>
      <x:c r="C26" s="7" t="str">
        <x:v>Computer &lt;-&gt; ESP32 AP</x:v>
      </x:c>
      <x:c r="D26" s="8" t="n">
        <x:v>75</x:v>
      </x:c>
      <x:c r="E26" s="7" t="n">
        <x:v>28.3</x:v>
      </x:c>
      <x:c r="F26" s="7" t="str">
        <x:v>Synthetic normal variation</x:v>
      </x:c>
      <x:c r="G26" s="12" t="n">
        <x:f>1000/D26</x:f>
        <x:v>13.333333333333334</x:v>
      </x:c>
    </x:row>
    <x:row r="27" ht="23" customHeight="1">
      <x:c r="A27" s="8" t="n">
        <x:v>5</x:v>
      </x:c>
      <x:c r="B27" s="8" t="n">
        <x:v>23</x:v>
      </x:c>
      <x:c r="C27" s="7" t="str">
        <x:v>Computer &lt;-&gt; ESP32 AP</x:v>
      </x:c>
      <x:c r="D27" s="8" t="n">
        <x:v>75</x:v>
      </x:c>
      <x:c r="E27" s="7" t="n">
        <x:v>39.5</x:v>
      </x:c>
      <x:c r="F27" s="7" t="str">
        <x:v>Synthetic normal variation</x:v>
      </x:c>
      <x:c r="G27" s="12" t="n">
        <x:f>1000/D27</x:f>
        <x:v>13.333333333333334</x:v>
      </x:c>
    </x:row>
    <x:row r="28" ht="23" customHeight="1">
      <x:c r="A28" s="8" t="n">
        <x:v>5</x:v>
      </x:c>
      <x:c r="B28" s="8" t="n">
        <x:v>24</x:v>
      </x:c>
      <x:c r="C28" s="7" t="str">
        <x:v>Computer &lt;-&gt; ESP32 AP</x:v>
      </x:c>
      <x:c r="D28" s="8" t="n">
        <x:v>75</x:v>
      </x:c>
      <x:c r="E28" s="7" t="n">
        <x:v>26</x:v>
      </x:c>
      <x:c r="F28" s="7" t="str">
        <x:v>Synthetic normal variation</x:v>
      </x:c>
      <x:c r="G28" s="12" t="n">
        <x:f>1000/D28</x:f>
        <x:v>13.333333333333334</x:v>
      </x:c>
    </x:row>
    <x:row r="29" ht="23" customHeight="1">
      <x:c r="A29" s="8" t="n">
        <x:v>5</x:v>
      </x:c>
      <x:c r="B29" s="8" t="n">
        <x:v>25</x:v>
      </x:c>
      <x:c r="C29" s="7" t="str">
        <x:v>Computer &lt;-&gt; ESP32 AP</x:v>
      </x:c>
      <x:c r="D29" s="8" t="n">
        <x:v>75</x:v>
      </x:c>
      <x:c r="E29" s="7" t="n">
        <x:v>22.5</x:v>
      </x:c>
      <x:c r="F29" s="7" t="str">
        <x:v>Synthetic normal variation</x:v>
      </x:c>
      <x:c r="G29" s="12" t="n">
        <x:f>1000/D29</x:f>
        <x:v>13.333333333333334</x:v>
      </x:c>
    </x:row>
    <x:row r="30" ht="23" customHeight="1">
      <x:c r="A30" s="8" t="n">
        <x:v>5</x:v>
      </x:c>
      <x:c r="B30" s="8" t="n">
        <x:v>26</x:v>
      </x:c>
      <x:c r="C30" s="7" t="str">
        <x:v>Computer &lt;-&gt; ESP32 AP</x:v>
      </x:c>
      <x:c r="D30" s="8" t="n">
        <x:v>75</x:v>
      </x:c>
      <x:c r="E30" s="7" t="n">
        <x:v>27.7</x:v>
      </x:c>
      <x:c r="F30" s="7" t="str">
        <x:v>Synthetic normal variation</x:v>
      </x:c>
      <x:c r="G30" s="12" t="n">
        <x:f>1000/D30</x:f>
        <x:v>13.333333333333334</x:v>
      </x:c>
    </x:row>
    <x:row r="31" ht="23" customHeight="1">
      <x:c r="A31" s="8" t="n">
        <x:v>5</x:v>
      </x:c>
      <x:c r="B31" s="8" t="n">
        <x:v>27</x:v>
      </x:c>
      <x:c r="C31" s="7" t="str">
        <x:v>Computer &lt;-&gt; ESP32 AP</x:v>
      </x:c>
      <x:c r="D31" s="8" t="n">
        <x:v>75</x:v>
      </x:c>
      <x:c r="E31" s="7" t="n">
        <x:v>58.4</x:v>
      </x:c>
      <x:c r="F31" s="7" t="str">
        <x:v>Simulated delay spike</x:v>
      </x:c>
      <x:c r="G31" s="12" t="n">
        <x:f>1000/D31</x:f>
        <x:v>13.333333333333334</x:v>
      </x:c>
    </x:row>
    <x:row r="32" ht="23" customHeight="1">
      <x:c r="A32" s="8" t="n">
        <x:v>5</x:v>
      </x:c>
      <x:c r="B32" s="8" t="n">
        <x:v>28</x:v>
      </x:c>
      <x:c r="C32" s="7" t="str">
        <x:v>Computer &lt;-&gt; ESP32 AP</x:v>
      </x:c>
      <x:c r="D32" s="8" t="n">
        <x:v>75</x:v>
      </x:c>
      <x:c r="E32" s="7" t="n">
        <x:v>30.7</x:v>
      </x:c>
      <x:c r="F32" s="7" t="str">
        <x:v>Synthetic normal variation</x:v>
      </x:c>
      <x:c r="G32" s="12" t="n">
        <x:f>1000/D32</x:f>
        <x:v>13.333333333333334</x:v>
      </x:c>
    </x:row>
    <x:row r="33" ht="23" customHeight="1">
      <x:c r="A33" s="8" t="n">
        <x:v>5</x:v>
      </x:c>
      <x:c r="B33" s="8" t="n">
        <x:v>29</x:v>
      </x:c>
      <x:c r="C33" s="7" t="str">
        <x:v>Computer &lt;-&gt; ESP32 AP</x:v>
      </x:c>
      <x:c r="D33" s="8" t="n">
        <x:v>75</x:v>
      </x:c>
      <x:c r="E33" s="7" t="n">
        <x:v>24.4</x:v>
      </x:c>
      <x:c r="F33" s="7" t="str">
        <x:v>Synthetic normal variation</x:v>
      </x:c>
      <x:c r="G33" s="12" t="n">
        <x:f>1000/D33</x:f>
        <x:v>13.333333333333334</x:v>
      </x:c>
    </x:row>
    <x:row r="34" ht="23" customHeight="1">
      <x:c r="A34" s="8" t="n">
        <x:v>5</x:v>
      </x:c>
      <x:c r="B34" s="8" t="n">
        <x:v>30</x:v>
      </x:c>
      <x:c r="C34" s="7" t="str">
        <x:v>Computer &lt;-&gt; ESP32 AP</x:v>
      </x:c>
      <x:c r="D34" s="8" t="n">
        <x:v>75</x:v>
      </x:c>
      <x:c r="E34" s="7" t="n">
        <x:v>23.4</x:v>
      </x:c>
      <x:c r="F34" s="7" t="str">
        <x:v>Synthetic normal variation</x:v>
      </x:c>
      <x:c r="G34" s="12" t="n">
        <x:f>1000/D34</x:f>
        <x:v>13.333333333333334</x:v>
      </x:c>
    </x:row>
    <x:row r="35" ht="23" customHeight="1">
      <x:c r="A35" s="8" t="n">
        <x:v>6</x:v>
      </x:c>
      <x:c r="B35" s="8" t="n">
        <x:v>1</x:v>
      </x:c>
      <x:c r="C35" s="7" t="str">
        <x:v>Computer &lt;-&gt; ESP32 AP</x:v>
      </x:c>
      <x:c r="D35" s="8" t="n">
        <x:v>100</x:v>
      </x:c>
      <x:c r="E35" s="7" t="n">
        <x:v>20.8</x:v>
      </x:c>
      <x:c r="F35" s="7" t="str">
        <x:v>Synthetic normal variation</x:v>
      </x:c>
      <x:c r="G35" s="12" t="n">
        <x:f>1000/D35</x:f>
        <x:v>10</x:v>
      </x:c>
    </x:row>
    <x:row r="36" ht="23" customHeight="1">
      <x:c r="A36" s="8" t="n">
        <x:v>6</x:v>
      </x:c>
      <x:c r="B36" s="8" t="n">
        <x:v>2</x:v>
      </x:c>
      <x:c r="C36" s="7" t="str">
        <x:v>Computer &lt;-&gt; ESP32 AP</x:v>
      </x:c>
      <x:c r="D36" s="8" t="n">
        <x:v>100</x:v>
      </x:c>
      <x:c r="E36" s="7" t="n">
        <x:v>17.7</x:v>
      </x:c>
      <x:c r="F36" s="7" t="str">
        <x:v>Synthetic normal variation</x:v>
      </x:c>
      <x:c r="G36" s="12" t="n">
        <x:f>1000/D36</x:f>
        <x:v>10</x:v>
      </x:c>
    </x:row>
    <x:row r="37" ht="23" customHeight="1">
      <x:c r="A37" s="8" t="n">
        <x:v>6</x:v>
      </x:c>
      <x:c r="B37" s="8" t="n">
        <x:v>3</x:v>
      </x:c>
      <x:c r="C37" s="7" t="str">
        <x:v>Computer &lt;-&gt; ESP32 AP</x:v>
      </x:c>
      <x:c r="D37" s="8" t="n">
        <x:v>100</x:v>
      </x:c>
      <x:c r="E37" s="7" t="n">
        <x:v>17.9</x:v>
      </x:c>
      <x:c r="F37" s="7" t="str">
        <x:v>Synthetic normal variation</x:v>
      </x:c>
      <x:c r="G37" s="12" t="n">
        <x:f>1000/D37</x:f>
        <x:v>10</x:v>
      </x:c>
    </x:row>
    <x:row r="38" ht="23" customHeight="1">
      <x:c r="A38" s="8" t="n">
        <x:v>6</x:v>
      </x:c>
      <x:c r="B38" s="8" t="n">
        <x:v>4</x:v>
      </x:c>
      <x:c r="C38" s="7" t="str">
        <x:v>Computer &lt;-&gt; ESP32 AP</x:v>
      </x:c>
      <x:c r="D38" s="8" t="n">
        <x:v>100</x:v>
      </x:c>
      <x:c r="E38" s="7" t="n">
        <x:v>22.9</x:v>
      </x:c>
      <x:c r="F38" s="7" t="str">
        <x:v>Synthetic normal variation</x:v>
      </x:c>
      <x:c r="G38" s="12" t="n">
        <x:f>1000/D38</x:f>
        <x:v>10</x:v>
      </x:c>
    </x:row>
    <x:row r="39" ht="23" customHeight="1">
      <x:c r="A39" s="8" t="n">
        <x:v>6</x:v>
      </x:c>
      <x:c r="B39" s="8" t="n">
        <x:v>5</x:v>
      </x:c>
      <x:c r="C39" s="7" t="str">
        <x:v>Computer &lt;-&gt; ESP32 AP</x:v>
      </x:c>
      <x:c r="D39" s="8" t="n">
        <x:v>100</x:v>
      </x:c>
      <x:c r="E39" s="7" t="n">
        <x:v>28.5</x:v>
      </x:c>
      <x:c r="F39" s="7" t="str">
        <x:v>Synthetic normal variation</x:v>
      </x:c>
      <x:c r="G39" s="12" t="n">
        <x:f>1000/D39</x:f>
        <x:v>10</x:v>
      </x:c>
    </x:row>
    <x:row r="40" ht="23" customHeight="1">
      <x:c r="A40" s="8" t="n">
        <x:v>6</x:v>
      </x:c>
      <x:c r="B40" s="8" t="n">
        <x:v>6</x:v>
      </x:c>
      <x:c r="C40" s="7" t="str">
        <x:v>Computer &lt;-&gt; ESP32 AP</x:v>
      </x:c>
      <x:c r="D40" s="8" t="n">
        <x:v>100</x:v>
      </x:c>
      <x:c r="E40" s="7" t="n">
        <x:v>22.6</x:v>
      </x:c>
      <x:c r="F40" s="7" t="str">
        <x:v>Synthetic normal variation</x:v>
      </x:c>
      <x:c r="G40" s="12" t="n">
        <x:f>1000/D40</x:f>
        <x:v>10</x:v>
      </x:c>
    </x:row>
    <x:row r="41" ht="23" customHeight="1">
      <x:c r="A41" s="8" t="n">
        <x:v>6</x:v>
      </x:c>
      <x:c r="B41" s="8" t="n">
        <x:v>7</x:v>
      </x:c>
      <x:c r="C41" s="7" t="str">
        <x:v>Computer &lt;-&gt; ESP32 AP</x:v>
      </x:c>
      <x:c r="D41" s="8" t="n">
        <x:v>100</x:v>
      </x:c>
      <x:c r="E41" s="7" t="n">
        <x:v>27</x:v>
      </x:c>
      <x:c r="F41" s="7" t="str">
        <x:v>Synthetic normal variation</x:v>
      </x:c>
      <x:c r="G41" s="12" t="n">
        <x:f>1000/D41</x:f>
        <x:v>10</x:v>
      </x:c>
    </x:row>
    <x:row r="42" ht="23" customHeight="1">
      <x:c r="A42" s="8" t="n">
        <x:v>6</x:v>
      </x:c>
      <x:c r="B42" s="8" t="n">
        <x:v>8</x:v>
      </x:c>
      <x:c r="C42" s="7" t="str">
        <x:v>Computer &lt;-&gt; ESP32 AP</x:v>
      </x:c>
      <x:c r="D42" s="8" t="n">
        <x:v>100</x:v>
      </x:c>
      <x:c r="E42" s="7" t="n">
        <x:v>35.4</x:v>
      </x:c>
      <x:c r="F42" s="7" t="str">
        <x:v>Synthetic normal variation</x:v>
      </x:c>
      <x:c r="G42" s="12" t="n">
        <x:f>1000/D42</x:f>
        <x:v>10</x:v>
      </x:c>
    </x:row>
    <x:row r="43" ht="23" customHeight="1">
      <x:c r="A43" s="8" t="n">
        <x:v>6</x:v>
      </x:c>
      <x:c r="B43" s="8" t="n">
        <x:v>9</x:v>
      </x:c>
      <x:c r="C43" s="7" t="str">
        <x:v>Computer &lt;-&gt; ESP32 AP</x:v>
      </x:c>
      <x:c r="D43" s="8" t="n">
        <x:v>100</x:v>
      </x:c>
      <x:c r="E43" s="7" t="n">
        <x:v>19.4</x:v>
      </x:c>
      <x:c r="F43" s="7" t="str">
        <x:v>Synthetic normal variation</x:v>
      </x:c>
      <x:c r="G43" s="12" t="n">
        <x:f>1000/D43</x:f>
        <x:v>10</x:v>
      </x:c>
    </x:row>
    <x:row r="44" ht="23" customHeight="1">
      <x:c r="A44" s="8" t="n">
        <x:v>6</x:v>
      </x:c>
      <x:c r="B44" s="8" t="n">
        <x:v>10</x:v>
      </x:c>
      <x:c r="C44" s="7" t="str">
        <x:v>Computer &lt;-&gt; ESP32 AP</x:v>
      </x:c>
      <x:c r="D44" s="8" t="n">
        <x:v>100</x:v>
      </x:c>
      <x:c r="E44" s="7" t="n">
        <x:v>21.7</x:v>
      </x:c>
      <x:c r="F44" s="7" t="str">
        <x:v>Synthetic normal variation</x:v>
      </x:c>
      <x:c r="G44" s="12" t="n">
        <x:f>1000/D44</x:f>
        <x:v>10</x:v>
      </x:c>
    </x:row>
    <x:row r="45" ht="23" customHeight="1">
      <x:c r="A45" s="8" t="n">
        <x:v>6</x:v>
      </x:c>
      <x:c r="B45" s="8" t="n">
        <x:v>11</x:v>
      </x:c>
      <x:c r="C45" s="7" t="str">
        <x:v>Computer &lt;-&gt; ESP32 AP</x:v>
      </x:c>
      <x:c r="D45" s="8" t="n">
        <x:v>100</x:v>
      </x:c>
      <x:c r="E45" s="7" t="n">
        <x:v>17.4</x:v>
      </x:c>
      <x:c r="F45" s="7" t="str">
        <x:v>Synthetic normal variation</x:v>
      </x:c>
      <x:c r="G45" s="12" t="n">
        <x:f>1000/D45</x:f>
        <x:v>10</x:v>
      </x:c>
    </x:row>
    <x:row r="46" ht="23" customHeight="1">
      <x:c r="A46" s="8" t="n">
        <x:v>6</x:v>
      </x:c>
      <x:c r="B46" s="8" t="n">
        <x:v>12</x:v>
      </x:c>
      <x:c r="C46" s="7" t="str">
        <x:v>Computer &lt;-&gt; ESP32 AP</x:v>
      </x:c>
      <x:c r="D46" s="8" t="n">
        <x:v>100</x:v>
      </x:c>
      <x:c r="E46" s="7" t="n">
        <x:v>27.3</x:v>
      </x:c>
      <x:c r="F46" s="7" t="str">
        <x:v>Synthetic normal variation</x:v>
      </x:c>
      <x:c r="G46" s="12" t="n">
        <x:f>1000/D46</x:f>
        <x:v>10</x:v>
      </x:c>
    </x:row>
    <x:row r="47" ht="23" customHeight="1">
      <x:c r="A47" s="8" t="n">
        <x:v>6</x:v>
      </x:c>
      <x:c r="B47" s="8" t="n">
        <x:v>13</x:v>
      </x:c>
      <x:c r="C47" s="7" t="str">
        <x:v>Computer &lt;-&gt; ESP32 AP</x:v>
      </x:c>
      <x:c r="D47" s="8" t="n">
        <x:v>100</x:v>
      </x:c>
      <x:c r="E47" s="7" t="n">
        <x:v>67</x:v>
      </x:c>
      <x:c r="F47" s="7" t="str">
        <x:v>Simulated delay spike</x:v>
      </x:c>
      <x:c r="G47" s="12" t="n">
        <x:f>1000/D47</x:f>
        <x:v>10</x:v>
      </x:c>
    </x:row>
    <x:row r="48" ht="23" customHeight="1">
      <x:c r="A48" s="8" t="n">
        <x:v>6</x:v>
      </x:c>
      <x:c r="B48" s="8" t="n">
        <x:v>14</x:v>
      </x:c>
      <x:c r="C48" s="7" t="str">
        <x:v>Computer &lt;-&gt; ESP32 AP</x:v>
      </x:c>
      <x:c r="D48" s="8" t="n">
        <x:v>100</x:v>
      </x:c>
      <x:c r="E48" s="7" t="n">
        <x:v>29.6</x:v>
      </x:c>
      <x:c r="F48" s="7" t="str">
        <x:v>Synthetic normal variation</x:v>
      </x:c>
      <x:c r="G48" s="12" t="n">
        <x:f>1000/D48</x:f>
        <x:v>10</x:v>
      </x:c>
    </x:row>
    <x:row r="49" ht="23" customHeight="1">
      <x:c r="A49" s="8" t="n">
        <x:v>6</x:v>
      </x:c>
      <x:c r="B49" s="8" t="n">
        <x:v>15</x:v>
      </x:c>
      <x:c r="C49" s="7" t="str">
        <x:v>Computer &lt;-&gt; ESP32 AP</x:v>
      </x:c>
      <x:c r="D49" s="8" t="n">
        <x:v>100</x:v>
      </x:c>
      <x:c r="E49" s="7" t="n">
        <x:v>17.8</x:v>
      </x:c>
      <x:c r="F49" s="7" t="str">
        <x:v>Synthetic normal variation</x:v>
      </x:c>
      <x:c r="G49" s="12" t="n">
        <x:f>1000/D49</x:f>
        <x:v>10</x:v>
      </x:c>
    </x:row>
    <x:row r="50" ht="23" customHeight="1">
      <x:c r="A50" s="8" t="n">
        <x:v>6</x:v>
      </x:c>
      <x:c r="B50" s="8" t="n">
        <x:v>16</x:v>
      </x:c>
      <x:c r="C50" s="7" t="str">
        <x:v>Computer &lt;-&gt; ESP32 AP</x:v>
      </x:c>
      <x:c r="D50" s="8" t="n">
        <x:v>100</x:v>
      </x:c>
      <x:c r="E50" s="7" t="n">
        <x:v>31.8</x:v>
      </x:c>
      <x:c r="F50" s="7" t="str">
        <x:v>Synthetic normal variation</x:v>
      </x:c>
      <x:c r="G50" s="12" t="n">
        <x:f>1000/D50</x:f>
        <x:v>10</x:v>
      </x:c>
    </x:row>
    <x:row r="51" ht="23" customHeight="1">
      <x:c r="A51" s="8" t="n">
        <x:v>6</x:v>
      </x:c>
      <x:c r="B51" s="8" t="n">
        <x:v>17</x:v>
      </x:c>
      <x:c r="C51" s="7" t="str">
        <x:v>Computer &lt;-&gt; ESP32 AP</x:v>
      </x:c>
      <x:c r="D51" s="8" t="n">
        <x:v>100</x:v>
      </x:c>
      <x:c r="E51" s="7" t="n">
        <x:v>28.2</x:v>
      </x:c>
      <x:c r="F51" s="7" t="str">
        <x:v>Synthetic normal variation</x:v>
      </x:c>
      <x:c r="G51" s="12" t="n">
        <x:f>1000/D51</x:f>
        <x:v>10</x:v>
      </x:c>
    </x:row>
    <x:row r="52" ht="23" customHeight="1">
      <x:c r="A52" s="8" t="n">
        <x:v>6</x:v>
      </x:c>
      <x:c r="B52" s="8" t="n">
        <x:v>18</x:v>
      </x:c>
      <x:c r="C52" s="7" t="str">
        <x:v>Computer &lt;-&gt; ESP32 AP</x:v>
      </x:c>
      <x:c r="D52" s="8" t="n">
        <x:v>100</x:v>
      </x:c>
      <x:c r="E52" s="7" t="n">
        <x:v>20.1</x:v>
      </x:c>
      <x:c r="F52" s="7" t="str">
        <x:v>Synthetic normal variation</x:v>
      </x:c>
      <x:c r="G52" s="12" t="n">
        <x:f>1000/D52</x:f>
        <x:v>10</x:v>
      </x:c>
    </x:row>
    <x:row r="53" ht="23" customHeight="1">
      <x:c r="A53" s="8" t="n">
        <x:v>6</x:v>
      </x:c>
      <x:c r="B53" s="8" t="n">
        <x:v>19</x:v>
      </x:c>
      <x:c r="C53" s="7" t="str">
        <x:v>Computer &lt;-&gt; ESP32 AP</x:v>
      </x:c>
      <x:c r="D53" s="8" t="n">
        <x:v>100</x:v>
      </x:c>
      <x:c r="E53" s="7" t="n">
        <x:v>31.3</x:v>
      </x:c>
      <x:c r="F53" s="7" t="str">
        <x:v>Synthetic normal variation</x:v>
      </x:c>
      <x:c r="G53" s="12" t="n">
        <x:f>1000/D53</x:f>
        <x:v>10</x:v>
      </x:c>
    </x:row>
    <x:row r="54" ht="23" customHeight="1">
      <x:c r="A54" s="8" t="n">
        <x:v>6</x:v>
      </x:c>
      <x:c r="B54" s="8" t="n">
        <x:v>20</x:v>
      </x:c>
      <x:c r="C54" s="7" t="str">
        <x:v>Computer &lt;-&gt; ESP32 AP</x:v>
      </x:c>
      <x:c r="D54" s="8" t="n">
        <x:v>100</x:v>
      </x:c>
      <x:c r="E54" s="7" t="n">
        <x:v>18.6</x:v>
      </x:c>
      <x:c r="F54" s="7" t="str">
        <x:v>Synthetic normal variation</x:v>
      </x:c>
      <x:c r="G54" s="12" t="n">
        <x:f>1000/D54</x:f>
        <x:v>10</x:v>
      </x:c>
    </x:row>
    <x:row r="55" ht="23" customHeight="1">
      <x:c r="A55" s="8" t="n">
        <x:v>6</x:v>
      </x:c>
      <x:c r="B55" s="8" t="n">
        <x:v>21</x:v>
      </x:c>
      <x:c r="C55" s="7" t="str">
        <x:v>Computer &lt;-&gt; ESP32 AP</x:v>
      </x:c>
      <x:c r="D55" s="8" t="n">
        <x:v>100</x:v>
      </x:c>
      <x:c r="E55" s="7" t="n">
        <x:v>31.2</x:v>
      </x:c>
      <x:c r="F55" s="7" t="str">
        <x:v>Synthetic normal variation</x:v>
      </x:c>
      <x:c r="G55" s="12" t="n">
        <x:f>1000/D55</x:f>
        <x:v>10</x:v>
      </x:c>
    </x:row>
    <x:row r="56" ht="23" customHeight="1">
      <x:c r="A56" s="8" t="n">
        <x:v>6</x:v>
      </x:c>
      <x:c r="B56" s="8" t="n">
        <x:v>22</x:v>
      </x:c>
      <x:c r="C56" s="7" t="str">
        <x:v>Computer &lt;-&gt; ESP32 AP</x:v>
      </x:c>
      <x:c r="D56" s="8" t="n">
        <x:v>100</x:v>
      </x:c>
      <x:c r="E56" s="7" t="n">
        <x:v>25.1</x:v>
      </x:c>
      <x:c r="F56" s="7" t="str">
        <x:v>Synthetic normal variation</x:v>
      </x:c>
      <x:c r="G56" s="12" t="n">
        <x:f>1000/D56</x:f>
        <x:v>10</x:v>
      </x:c>
    </x:row>
    <x:row r="57" ht="23" customHeight="1">
      <x:c r="A57" s="8" t="n">
        <x:v>6</x:v>
      </x:c>
      <x:c r="B57" s="8" t="n">
        <x:v>23</x:v>
      </x:c>
      <x:c r="C57" s="7" t="str">
        <x:v>Computer &lt;-&gt; ESP32 AP</x:v>
      </x:c>
      <x:c r="D57" s="8" t="n">
        <x:v>100</x:v>
      </x:c>
      <x:c r="E57" s="7" t="n">
        <x:v>24.6</x:v>
      </x:c>
      <x:c r="F57" s="7" t="str">
        <x:v>Synthetic normal variation</x:v>
      </x:c>
      <x:c r="G57" s="12" t="n">
        <x:f>1000/D57</x:f>
        <x:v>10</x:v>
      </x:c>
    </x:row>
    <x:row r="58" ht="23" customHeight="1">
      <x:c r="A58" s="8" t="n">
        <x:v>6</x:v>
      </x:c>
      <x:c r="B58" s="8" t="n">
        <x:v>24</x:v>
      </x:c>
      <x:c r="C58" s="7" t="str">
        <x:v>Computer &lt;-&gt; ESP32 AP</x:v>
      </x:c>
      <x:c r="D58" s="8" t="n">
        <x:v>100</x:v>
      </x:c>
      <x:c r="E58" s="7" t="n">
        <x:v>34.1</x:v>
      </x:c>
      <x:c r="F58" s="7" t="str">
        <x:v>Synthetic normal variation</x:v>
      </x:c>
      <x:c r="G58" s="12" t="n">
        <x:f>1000/D58</x:f>
        <x:v>10</x:v>
      </x:c>
    </x:row>
    <x:row r="59" ht="23" customHeight="1">
      <x:c r="A59" s="8" t="n">
        <x:v>6</x:v>
      </x:c>
      <x:c r="B59" s="8" t="n">
        <x:v>25</x:v>
      </x:c>
      <x:c r="C59" s="7" t="str">
        <x:v>Computer &lt;-&gt; ESP32 AP</x:v>
      </x:c>
      <x:c r="D59" s="8" t="n">
        <x:v>100</x:v>
      </x:c>
      <x:c r="E59" s="7" t="n">
        <x:v>21.9</x:v>
      </x:c>
      <x:c r="F59" s="7" t="str">
        <x:v>Synthetic normal variation</x:v>
      </x:c>
      <x:c r="G59" s="12" t="n">
        <x:f>1000/D59</x:f>
        <x:v>10</x:v>
      </x:c>
    </x:row>
    <x:row r="60" ht="23" customHeight="1">
      <x:c r="A60" s="8" t="n">
        <x:v>6</x:v>
      </x:c>
      <x:c r="B60" s="8" t="n">
        <x:v>26</x:v>
      </x:c>
      <x:c r="C60" s="7" t="str">
        <x:v>Computer &lt;-&gt; ESP32 AP</x:v>
      </x:c>
      <x:c r="D60" s="8" t="n">
        <x:v>100</x:v>
      </x:c>
      <x:c r="E60" s="7" t="n">
        <x:v>18</x:v>
      </x:c>
      <x:c r="F60" s="7" t="str">
        <x:v>Synthetic normal variation</x:v>
      </x:c>
      <x:c r="G60" s="12" t="n">
        <x:f>1000/D60</x:f>
        <x:v>10</x:v>
      </x:c>
    </x:row>
    <x:row r="61" ht="23" customHeight="1">
      <x:c r="A61" s="8" t="n">
        <x:v>6</x:v>
      </x:c>
      <x:c r="B61" s="8" t="n">
        <x:v>27</x:v>
      </x:c>
      <x:c r="C61" s="7" t="str">
        <x:v>Computer &lt;-&gt; ESP32 AP</x:v>
      </x:c>
      <x:c r="D61" s="8" t="n">
        <x:v>100</x:v>
      </x:c>
      <x:c r="E61" s="7" t="n">
        <x:v>53.6</x:v>
      </x:c>
      <x:c r="F61" s="7" t="str">
        <x:v>Simulated delay spike</x:v>
      </x:c>
      <x:c r="G61" s="12" t="n">
        <x:f>1000/D61</x:f>
        <x:v>10</x:v>
      </x:c>
    </x:row>
    <x:row r="62" ht="23" customHeight="1">
      <x:c r="A62" s="8" t="n">
        <x:v>6</x:v>
      </x:c>
      <x:c r="B62" s="8" t="n">
        <x:v>28</x:v>
      </x:c>
      <x:c r="C62" s="7" t="str">
        <x:v>Computer &lt;-&gt; ESP32 AP</x:v>
      </x:c>
      <x:c r="D62" s="8" t="n">
        <x:v>100</x:v>
      </x:c>
      <x:c r="E62" s="7" t="n">
        <x:v>17</x:v>
      </x:c>
      <x:c r="F62" s="7" t="str">
        <x:v>Synthetic normal variation</x:v>
      </x:c>
      <x:c r="G62" s="12" t="n">
        <x:f>1000/D62</x:f>
        <x:v>10</x:v>
      </x:c>
    </x:row>
    <x:row r="63" ht="23" customHeight="1">
      <x:c r="A63" s="8" t="n">
        <x:v>6</x:v>
      </x:c>
      <x:c r="B63" s="8" t="n">
        <x:v>29</x:v>
      </x:c>
      <x:c r="C63" s="7" t="str">
        <x:v>Computer &lt;-&gt; ESP32 AP</x:v>
      </x:c>
      <x:c r="D63" s="8" t="n">
        <x:v>100</x:v>
      </x:c>
      <x:c r="E63" s="7" t="n">
        <x:v>23.3</x:v>
      </x:c>
      <x:c r="F63" s="7" t="str">
        <x:v>Synthetic normal variation</x:v>
      </x:c>
      <x:c r="G63" s="12" t="n">
        <x:f>1000/D63</x:f>
        <x:v>10</x:v>
      </x:c>
    </x:row>
    <x:row r="64" ht="23" customHeight="1">
      <x:c r="A64" s="8" t="n">
        <x:v>6</x:v>
      </x:c>
      <x:c r="B64" s="8" t="n">
        <x:v>30</x:v>
      </x:c>
      <x:c r="C64" s="7" t="str">
        <x:v>Computer &lt;-&gt; ESP32 AP</x:v>
      </x:c>
      <x:c r="D64" s="8" t="n">
        <x:v>100</x:v>
      </x:c>
      <x:c r="E64" s="7" t="n">
        <x:v>25.1</x:v>
      </x:c>
      <x:c r="F64" s="7" t="str">
        <x:v>Synthetic normal variation</x:v>
      </x:c>
      <x:c r="G64" s="12" t="n">
        <x:f>1000/D64</x:f>
        <x:v>10</x:v>
      </x:c>
    </x:row>
    <x:row r="65" ht="23" customHeight="1">
      <x:c r="A65" s="8" t="n">
        <x:v>7</x:v>
      </x:c>
      <x:c r="B65" s="8" t="n">
        <x:v>1</x:v>
      </x:c>
      <x:c r="C65" s="7" t="str">
        <x:v>Computer &lt;-&gt; ESP32 AP</x:v>
      </x:c>
      <x:c r="D65" s="8" t="n">
        <x:v>100</x:v>
      </x:c>
      <x:c r="E65" s="7" t="n">
        <x:v>24.7</x:v>
      </x:c>
      <x:c r="F65" s="7" t="str">
        <x:v>Synthetic normal variation</x:v>
      </x:c>
      <x:c r="G65" s="12" t="n">
        <x:f>1000/D65</x:f>
        <x:v>10</x:v>
      </x:c>
    </x:row>
    <x:row r="66" ht="23" customHeight="1">
      <x:c r="A66" s="8" t="n">
        <x:v>7</x:v>
      </x:c>
      <x:c r="B66" s="8" t="n">
        <x:v>2</x:v>
      </x:c>
      <x:c r="C66" s="7" t="str">
        <x:v>Computer &lt;-&gt; ESP32 AP</x:v>
      </x:c>
      <x:c r="D66" s="8" t="n">
        <x:v>100</x:v>
      </x:c>
      <x:c r="E66" s="7" t="n">
        <x:v>38.5</x:v>
      </x:c>
      <x:c r="F66" s="7" t="str">
        <x:v>Synthetic normal variation</x:v>
      </x:c>
      <x:c r="G66" s="12" t="n">
        <x:f>1000/D66</x:f>
        <x:v>10</x:v>
      </x:c>
    </x:row>
    <x:row r="67" ht="23" customHeight="1">
      <x:c r="A67" s="8" t="n">
        <x:v>7</x:v>
      </x:c>
      <x:c r="B67" s="8" t="n">
        <x:v>3</x:v>
      </x:c>
      <x:c r="C67" s="7" t="str">
        <x:v>Computer &lt;-&gt; ESP32 AP</x:v>
      </x:c>
      <x:c r="D67" s="8" t="n">
        <x:v>100</x:v>
      </x:c>
      <x:c r="E67" s="7" t="n">
        <x:v>29.4</x:v>
      </x:c>
      <x:c r="F67" s="7" t="str">
        <x:v>Synthetic normal variation</x:v>
      </x:c>
      <x:c r="G67" s="12" t="n">
        <x:f>1000/D67</x:f>
        <x:v>10</x:v>
      </x:c>
    </x:row>
    <x:row r="68" ht="23" customHeight="1">
      <x:c r="A68" s="8" t="n">
        <x:v>7</x:v>
      </x:c>
      <x:c r="B68" s="8" t="n">
        <x:v>4</x:v>
      </x:c>
      <x:c r="C68" s="7" t="str">
        <x:v>Computer &lt;-&gt; ESP32 AP</x:v>
      </x:c>
      <x:c r="D68" s="8" t="n">
        <x:v>100</x:v>
      </x:c>
      <x:c r="E68" s="7" t="n">
        <x:v>28</x:v>
      </x:c>
      <x:c r="F68" s="7" t="str">
        <x:v>Synthetic normal variation</x:v>
      </x:c>
      <x:c r="G68" s="12" t="n">
        <x:f>1000/D68</x:f>
        <x:v>10</x:v>
      </x:c>
    </x:row>
    <x:row r="69" ht="23" customHeight="1">
      <x:c r="A69" s="8" t="n">
        <x:v>7</x:v>
      </x:c>
      <x:c r="B69" s="8" t="n">
        <x:v>5</x:v>
      </x:c>
      <x:c r="C69" s="7" t="str">
        <x:v>Computer &lt;-&gt; ESP32 AP</x:v>
      </x:c>
      <x:c r="D69" s="8" t="n">
        <x:v>100</x:v>
      </x:c>
      <x:c r="E69" s="7" t="n">
        <x:v>30.3</x:v>
      </x:c>
      <x:c r="F69" s="7" t="str">
        <x:v>Synthetic normal variation</x:v>
      </x:c>
      <x:c r="G69" s="12" t="n">
        <x:f>1000/D69</x:f>
        <x:v>10</x:v>
      </x:c>
    </x:row>
    <x:row r="70" ht="23" customHeight="1">
      <x:c r="A70" s="8" t="n">
        <x:v>7</x:v>
      </x:c>
      <x:c r="B70" s="8" t="n">
        <x:v>6</x:v>
      </x:c>
      <x:c r="C70" s="7" t="str">
        <x:v>Computer &lt;-&gt; ESP32 AP</x:v>
      </x:c>
      <x:c r="D70" s="8" t="n">
        <x:v>100</x:v>
      </x:c>
      <x:c r="E70" s="7" t="n">
        <x:v>20.6</x:v>
      </x:c>
      <x:c r="F70" s="7" t="str">
        <x:v>Synthetic normal variation</x:v>
      </x:c>
      <x:c r="G70" s="12" t="n">
        <x:f>1000/D70</x:f>
        <x:v>10</x:v>
      </x:c>
    </x:row>
    <x:row r="71" ht="23" customHeight="1">
      <x:c r="A71" s="8" t="n">
        <x:v>7</x:v>
      </x:c>
      <x:c r="B71" s="8" t="n">
        <x:v>7</x:v>
      </x:c>
      <x:c r="C71" s="7" t="str">
        <x:v>Computer &lt;-&gt; ESP32 AP</x:v>
      </x:c>
      <x:c r="D71" s="8" t="n">
        <x:v>100</x:v>
      </x:c>
      <x:c r="E71" s="7" t="n">
        <x:v>22.6</x:v>
      </x:c>
      <x:c r="F71" s="7" t="str">
        <x:v>Synthetic normal variation</x:v>
      </x:c>
      <x:c r="G71" s="12" t="n">
        <x:f>1000/D71</x:f>
        <x:v>10</x:v>
      </x:c>
    </x:row>
    <x:row r="72" ht="23" customHeight="1">
      <x:c r="A72" s="8" t="n">
        <x:v>7</x:v>
      </x:c>
      <x:c r="B72" s="8" t="n">
        <x:v>8</x:v>
      </x:c>
      <x:c r="C72" s="7" t="str">
        <x:v>Computer &lt;-&gt; ESP32 AP</x:v>
      </x:c>
      <x:c r="D72" s="8" t="n">
        <x:v>100</x:v>
      </x:c>
      <x:c r="E72" s="7" t="n">
        <x:v>27.6</x:v>
      </x:c>
      <x:c r="F72" s="7" t="str">
        <x:v>Synthetic normal variation</x:v>
      </x:c>
      <x:c r="G72" s="12" t="n">
        <x:f>1000/D72</x:f>
        <x:v>10</x:v>
      </x:c>
    </x:row>
    <x:row r="73" ht="23" customHeight="1">
      <x:c r="A73" s="8" t="n">
        <x:v>7</x:v>
      </x:c>
      <x:c r="B73" s="8" t="n">
        <x:v>9</x:v>
      </x:c>
      <x:c r="C73" s="7" t="str">
        <x:v>Computer &lt;-&gt; ESP32 AP</x:v>
      </x:c>
      <x:c r="D73" s="8" t="n">
        <x:v>100</x:v>
      </x:c>
      <x:c r="E73" s="7" t="n">
        <x:v>30.4</x:v>
      </x:c>
      <x:c r="F73" s="7" t="str">
        <x:v>Synthetic normal variation</x:v>
      </x:c>
      <x:c r="G73" s="12" t="n">
        <x:f>1000/D73</x:f>
        <x:v>10</x:v>
      </x:c>
    </x:row>
    <x:row r="74" ht="23" customHeight="1">
      <x:c r="A74" s="8" t="n">
        <x:v>7</x:v>
      </x:c>
      <x:c r="B74" s="8" t="n">
        <x:v>10</x:v>
      </x:c>
      <x:c r="C74" s="7" t="str">
        <x:v>Computer &lt;-&gt; ESP32 AP</x:v>
      </x:c>
      <x:c r="D74" s="8" t="n">
        <x:v>100</x:v>
      </x:c>
      <x:c r="E74" s="7" t="n">
        <x:v>26.8</x:v>
      </x:c>
      <x:c r="F74" s="7" t="str">
        <x:v>Synthetic normal variation</x:v>
      </x:c>
      <x:c r="G74" s="12" t="n">
        <x:f>1000/D74</x:f>
        <x:v>10</x:v>
      </x:c>
    </x:row>
    <x:row r="75" ht="23" customHeight="1">
      <x:c r="A75" s="8" t="n">
        <x:v>7</x:v>
      </x:c>
      <x:c r="B75" s="8" t="n">
        <x:v>11</x:v>
      </x:c>
      <x:c r="C75" s="7" t="str">
        <x:v>Computer &lt;-&gt; ESP32 AP</x:v>
      </x:c>
      <x:c r="D75" s="8" t="n">
        <x:v>100</x:v>
      </x:c>
      <x:c r="E75" s="7" t="n">
        <x:v>29</x:v>
      </x:c>
      <x:c r="F75" s="7" t="str">
        <x:v>Synthetic normal variation</x:v>
      </x:c>
      <x:c r="G75" s="12" t="n">
        <x:f>1000/D75</x:f>
        <x:v>10</x:v>
      </x:c>
    </x:row>
    <x:row r="76" ht="23" customHeight="1">
      <x:c r="A76" s="8" t="n">
        <x:v>7</x:v>
      </x:c>
      <x:c r="B76" s="8" t="n">
        <x:v>12</x:v>
      </x:c>
      <x:c r="C76" s="7" t="str">
        <x:v>Computer &lt;-&gt; ESP32 AP</x:v>
      </x:c>
      <x:c r="D76" s="8" t="n">
        <x:v>100</x:v>
      </x:c>
      <x:c r="E76" s="7" t="n">
        <x:v>23.6</x:v>
      </x:c>
      <x:c r="F76" s="7" t="str">
        <x:v>Synthetic normal variation</x:v>
      </x:c>
      <x:c r="G76" s="12" t="n">
        <x:f>1000/D76</x:f>
        <x:v>10</x:v>
      </x:c>
    </x:row>
    <x:row r="77" ht="23" customHeight="1">
      <x:c r="A77" s="8" t="n">
        <x:v>7</x:v>
      </x:c>
      <x:c r="B77" s="8" t="n">
        <x:v>13</x:v>
      </x:c>
      <x:c r="C77" s="7" t="str">
        <x:v>Computer &lt;-&gt; ESP32 AP</x:v>
      </x:c>
      <x:c r="D77" s="8" t="n">
        <x:v>100</x:v>
      </x:c>
      <x:c r="E77" s="7" t="n">
        <x:v>65.4</x:v>
      </x:c>
      <x:c r="F77" s="7" t="str">
        <x:v>Simulated delay spike</x:v>
      </x:c>
      <x:c r="G77" s="12" t="n">
        <x:f>1000/D77</x:f>
        <x:v>10</x:v>
      </x:c>
    </x:row>
    <x:row r="78" ht="23" customHeight="1">
      <x:c r="A78" s="8" t="n">
        <x:v>7</x:v>
      </x:c>
      <x:c r="B78" s="8" t="n">
        <x:v>14</x:v>
      </x:c>
      <x:c r="C78" s="7" t="str">
        <x:v>Computer &lt;-&gt; ESP32 AP</x:v>
      </x:c>
      <x:c r="D78" s="8" t="n">
        <x:v>100</x:v>
      </x:c>
      <x:c r="E78" s="7" t="n">
        <x:v>14.2</x:v>
      </x:c>
      <x:c r="F78" s="7" t="str">
        <x:v>Synthetic normal variation</x:v>
      </x:c>
      <x:c r="G78" s="12" t="n">
        <x:f>1000/D78</x:f>
        <x:v>10</x:v>
      </x:c>
    </x:row>
    <x:row r="79" ht="23" customHeight="1">
      <x:c r="A79" s="8" t="n">
        <x:v>7</x:v>
      </x:c>
      <x:c r="B79" s="8" t="n">
        <x:v>15</x:v>
      </x:c>
      <x:c r="C79" s="7" t="str">
        <x:v>Computer &lt;-&gt; ESP32 AP</x:v>
      </x:c>
      <x:c r="D79" s="8" t="n">
        <x:v>100</x:v>
      </x:c>
      <x:c r="E79" s="7" t="n">
        <x:v>29.2</x:v>
      </x:c>
      <x:c r="F79" s="7" t="str">
        <x:v>Synthetic normal variation</x:v>
      </x:c>
      <x:c r="G79" s="12" t="n">
        <x:f>1000/D79</x:f>
        <x:v>10</x:v>
      </x:c>
    </x:row>
    <x:row r="80" ht="23" customHeight="1">
      <x:c r="A80" s="8" t="n">
        <x:v>7</x:v>
      </x:c>
      <x:c r="B80" s="8" t="n">
        <x:v>16</x:v>
      </x:c>
      <x:c r="C80" s="7" t="str">
        <x:v>Computer &lt;-&gt; ESP32 AP</x:v>
      </x:c>
      <x:c r="D80" s="8" t="n">
        <x:v>100</x:v>
      </x:c>
      <x:c r="E80" s="7" t="n">
        <x:v>29.8</x:v>
      </x:c>
      <x:c r="F80" s="7" t="str">
        <x:v>Synthetic normal variation</x:v>
      </x:c>
      <x:c r="G80" s="12" t="n">
        <x:f>1000/D80</x:f>
        <x:v>10</x:v>
      </x:c>
    </x:row>
    <x:row r="81" ht="23" customHeight="1">
      <x:c r="A81" s="8" t="n">
        <x:v>7</x:v>
      </x:c>
      <x:c r="B81" s="8" t="n">
        <x:v>17</x:v>
      </x:c>
      <x:c r="C81" s="7" t="str">
        <x:v>Computer &lt;-&gt; ESP32 AP</x:v>
      </x:c>
      <x:c r="D81" s="8" t="n">
        <x:v>100</x:v>
      </x:c>
      <x:c r="E81" s="7" t="n">
        <x:v>30.1</x:v>
      </x:c>
      <x:c r="F81" s="7" t="str">
        <x:v>Synthetic normal variation</x:v>
      </x:c>
      <x:c r="G81" s="12" t="n">
        <x:f>1000/D81</x:f>
        <x:v>10</x:v>
      </x:c>
    </x:row>
    <x:row r="82" ht="23" customHeight="1">
      <x:c r="A82" s="8" t="n">
        <x:v>7</x:v>
      </x:c>
      <x:c r="B82" s="8" t="n">
        <x:v>18</x:v>
      </x:c>
      <x:c r="C82" s="7" t="str">
        <x:v>Computer &lt;-&gt; ESP32 AP</x:v>
      </x:c>
      <x:c r="D82" s="8" t="n">
        <x:v>100</x:v>
      </x:c>
      <x:c r="E82" s="7" t="n">
        <x:v>20.3</x:v>
      </x:c>
      <x:c r="F82" s="7" t="str">
        <x:v>Synthetic normal variation</x:v>
      </x:c>
      <x:c r="G82" s="12" t="n">
        <x:f>1000/D82</x:f>
        <x:v>10</x:v>
      </x:c>
    </x:row>
    <x:row r="83" ht="23" customHeight="1">
      <x:c r="A83" s="8" t="n">
        <x:v>7</x:v>
      </x:c>
      <x:c r="B83" s="8" t="n">
        <x:v>19</x:v>
      </x:c>
      <x:c r="C83" s="7" t="str">
        <x:v>Computer &lt;-&gt; ESP32 AP</x:v>
      </x:c>
      <x:c r="D83" s="8" t="n">
        <x:v>100</x:v>
      </x:c>
      <x:c r="E83" s="7" t="n">
        <x:v>23.4</x:v>
      </x:c>
      <x:c r="F83" s="7" t="str">
        <x:v>Synthetic normal variation</x:v>
      </x:c>
      <x:c r="G83" s="12" t="n">
        <x:f>1000/D83</x:f>
        <x:v>10</x:v>
      </x:c>
    </x:row>
    <x:row r="84" ht="23" customHeight="1">
      <x:c r="A84" s="8" t="n">
        <x:v>7</x:v>
      </x:c>
      <x:c r="B84" s="8" t="n">
        <x:v>20</x:v>
      </x:c>
      <x:c r="C84" s="7" t="str">
        <x:v>Computer &lt;-&gt; ESP32 AP</x:v>
      </x:c>
      <x:c r="D84" s="8" t="n">
        <x:v>100</x:v>
      </x:c>
      <x:c r="E84" s="7" t="n">
        <x:v>20.9</x:v>
      </x:c>
      <x:c r="F84" s="7" t="str">
        <x:v>Synthetic normal variation</x:v>
      </x:c>
      <x:c r="G84" s="12" t="n">
        <x:f>1000/D84</x:f>
        <x:v>10</x:v>
      </x:c>
    </x:row>
    <x:row r="85" ht="23" customHeight="1">
      <x:c r="A85" s="8" t="n">
        <x:v>7</x:v>
      </x:c>
      <x:c r="B85" s="8" t="n">
        <x:v>21</x:v>
      </x:c>
      <x:c r="C85" s="7" t="str">
        <x:v>Computer &lt;-&gt; ESP32 AP</x:v>
      </x:c>
      <x:c r="D85" s="8" t="n">
        <x:v>100</x:v>
      </x:c>
      <x:c r="E85" s="7" t="n">
        <x:v>38.8</x:v>
      </x:c>
      <x:c r="F85" s="7" t="str">
        <x:v>Synthetic normal variation</x:v>
      </x:c>
      <x:c r="G85" s="12" t="n">
        <x:f>1000/D85</x:f>
        <x:v>10</x:v>
      </x:c>
    </x:row>
    <x:row r="86" ht="23" customHeight="1">
      <x:c r="A86" s="8" t="n">
        <x:v>7</x:v>
      </x:c>
      <x:c r="B86" s="8" t="n">
        <x:v>22</x:v>
      </x:c>
      <x:c r="C86" s="7" t="str">
        <x:v>Computer &lt;-&gt; ESP32 AP</x:v>
      </x:c>
      <x:c r="D86" s="8" t="n">
        <x:v>100</x:v>
      </x:c>
      <x:c r="E86" s="7" t="n">
        <x:v>19.6</x:v>
      </x:c>
      <x:c r="F86" s="7" t="str">
        <x:v>Synthetic normal variation</x:v>
      </x:c>
      <x:c r="G86" s="12" t="n">
        <x:f>1000/D86</x:f>
        <x:v>10</x:v>
      </x:c>
    </x:row>
    <x:row r="87" ht="23" customHeight="1">
      <x:c r="A87" s="8" t="n">
        <x:v>7</x:v>
      </x:c>
      <x:c r="B87" s="8" t="n">
        <x:v>23</x:v>
      </x:c>
      <x:c r="C87" s="7" t="str">
        <x:v>Computer &lt;-&gt; ESP32 AP</x:v>
      </x:c>
      <x:c r="D87" s="8" t="n">
        <x:v>100</x:v>
      </x:c>
      <x:c r="E87" s="7" t="n">
        <x:v>22.7</x:v>
      </x:c>
      <x:c r="F87" s="7" t="str">
        <x:v>Synthetic normal variation</x:v>
      </x:c>
      <x:c r="G87" s="12" t="n">
        <x:f>1000/D87</x:f>
        <x:v>10</x:v>
      </x:c>
    </x:row>
    <x:row r="88" ht="23" customHeight="1">
      <x:c r="A88" s="8" t="n">
        <x:v>7</x:v>
      </x:c>
      <x:c r="B88" s="8" t="n">
        <x:v>24</x:v>
      </x:c>
      <x:c r="C88" s="7" t="str">
        <x:v>Computer &lt;-&gt; ESP32 AP</x:v>
      </x:c>
      <x:c r="D88" s="8" t="n">
        <x:v>100</x:v>
      </x:c>
      <x:c r="E88" s="7" t="n">
        <x:v>18.5</x:v>
      </x:c>
      <x:c r="F88" s="7" t="str">
        <x:v>Synthetic normal variation</x:v>
      </x:c>
      <x:c r="G88" s="12" t="n">
        <x:f>1000/D88</x:f>
        <x:v>10</x:v>
      </x:c>
    </x:row>
    <x:row r="89" ht="23" customHeight="1">
      <x:c r="A89" s="8" t="n">
        <x:v>7</x:v>
      </x:c>
      <x:c r="B89" s="8" t="n">
        <x:v>25</x:v>
      </x:c>
      <x:c r="C89" s="7" t="str">
        <x:v>Computer &lt;-&gt; ESP32 AP</x:v>
      </x:c>
      <x:c r="D89" s="8" t="n">
        <x:v>100</x:v>
      </x:c>
      <x:c r="E89" s="7" t="n">
        <x:v>29.8</x:v>
      </x:c>
      <x:c r="F89" s="7" t="str">
        <x:v>Synthetic normal variation</x:v>
      </x:c>
      <x:c r="G89" s="12" t="n">
        <x:f>1000/D89</x:f>
        <x:v>10</x:v>
      </x:c>
    </x:row>
    <x:row r="90" ht="23" customHeight="1">
      <x:c r="A90" s="8" t="n">
        <x:v>7</x:v>
      </x:c>
      <x:c r="B90" s="8" t="n">
        <x:v>26</x:v>
      </x:c>
      <x:c r="C90" s="7" t="str">
        <x:v>Computer &lt;-&gt; ESP32 AP</x:v>
      </x:c>
      <x:c r="D90" s="8" t="n">
        <x:v>100</x:v>
      </x:c>
      <x:c r="E90" s="7" t="n">
        <x:v>22.9</x:v>
      </x:c>
      <x:c r="F90" s="7" t="str">
        <x:v>Synthetic normal variation</x:v>
      </x:c>
      <x:c r="G90" s="12" t="n">
        <x:f>1000/D90</x:f>
        <x:v>10</x:v>
      </x:c>
    </x:row>
    <x:row r="91" ht="23" customHeight="1">
      <x:c r="A91" s="8" t="n">
        <x:v>7</x:v>
      </x:c>
      <x:c r="B91" s="8" t="n">
        <x:v>27</x:v>
      </x:c>
      <x:c r="C91" s="7" t="str">
        <x:v>Computer &lt;-&gt; ESP32 AP</x:v>
      </x:c>
      <x:c r="D91" s="8" t="n">
        <x:v>100</x:v>
      </x:c>
      <x:c r="E91" s="7" t="n">
        <x:v>84</x:v>
      </x:c>
      <x:c r="F91" s="7" t="str">
        <x:v>Simulated delay spike</x:v>
      </x:c>
      <x:c r="G91" s="12" t="n">
        <x:f>1000/D91</x:f>
        <x:v>10</x:v>
      </x:c>
    </x:row>
    <x:row r="92" ht="23" customHeight="1">
      <x:c r="A92" s="8" t="n">
        <x:v>7</x:v>
      </x:c>
      <x:c r="B92" s="8" t="n">
        <x:v>28</x:v>
      </x:c>
      <x:c r="C92" s="7" t="str">
        <x:v>Computer &lt;-&gt; ESP32 AP</x:v>
      </x:c>
      <x:c r="D92" s="8" t="n">
        <x:v>100</x:v>
      </x:c>
      <x:c r="E92" s="7" t="n">
        <x:v>22.2</x:v>
      </x:c>
      <x:c r="F92" s="7" t="str">
        <x:v>Synthetic normal variation</x:v>
      </x:c>
      <x:c r="G92" s="12" t="n">
        <x:f>1000/D92</x:f>
        <x:v>10</x:v>
      </x:c>
    </x:row>
    <x:row r="93" ht="23" customHeight="1">
      <x:c r="A93" s="8" t="n">
        <x:v>7</x:v>
      </x:c>
      <x:c r="B93" s="8" t="n">
        <x:v>29</x:v>
      </x:c>
      <x:c r="C93" s="7" t="str">
        <x:v>Computer &lt;-&gt; ESP32 AP</x:v>
      </x:c>
      <x:c r="D93" s="8" t="n">
        <x:v>100</x:v>
      </x:c>
      <x:c r="E93" s="7" t="n">
        <x:v>25</x:v>
      </x:c>
      <x:c r="F93" s="7" t="str">
        <x:v>Synthetic normal variation</x:v>
      </x:c>
      <x:c r="G93" s="12" t="n">
        <x:f>1000/D93</x:f>
        <x:v>10</x:v>
      </x:c>
    </x:row>
    <x:row r="94" ht="23" customHeight="1">
      <x:c r="A94" s="8" t="n">
        <x:v>7</x:v>
      </x:c>
      <x:c r="B94" s="8" t="n">
        <x:v>30</x:v>
      </x:c>
      <x:c r="C94" s="7" t="str">
        <x:v>Computer &lt;-&gt; ESP32 AP</x:v>
      </x:c>
      <x:c r="D94" s="8" t="n">
        <x:v>100</x:v>
      </x:c>
      <x:c r="E94" s="7" t="n">
        <x:v>25</x:v>
      </x:c>
      <x:c r="F94" s="7" t="str">
        <x:v>Synthetic normal variation</x:v>
      </x:c>
      <x:c r="G94" s="12" t="n">
        <x:f>1000/D94</x:f>
        <x:v>10</x:v>
      </x:c>
    </x:row>
    <x:row r="95" ht="23" customHeight="1">
      <x:c r="A95" s="8" t="n">
        <x:v>8</x:v>
      </x:c>
      <x:c r="B95" s="8" t="n">
        <x:v>1</x:v>
      </x:c>
      <x:c r="C95" s="7" t="str">
        <x:v>Computer &lt;-&gt; ESP32 AP</x:v>
      </x:c>
      <x:c r="D95" s="8" t="n">
        <x:v>100</x:v>
      </x:c>
      <x:c r="E95" s="7" t="n">
        <x:v>24.6</x:v>
      </x:c>
      <x:c r="F95" s="7" t="str">
        <x:v>Synthetic normal variation</x:v>
      </x:c>
      <x:c r="G95" s="12" t="n">
        <x:f>1000/D95</x:f>
        <x:v>10</x:v>
      </x:c>
    </x:row>
    <x:row r="96" ht="23" customHeight="1">
      <x:c r="A96" s="8" t="n">
        <x:v>8</x:v>
      </x:c>
      <x:c r="B96" s="8" t="n">
        <x:v>2</x:v>
      </x:c>
      <x:c r="C96" s="7" t="str">
        <x:v>Computer &lt;-&gt; ESP32 AP</x:v>
      </x:c>
      <x:c r="D96" s="8" t="n">
        <x:v>100</x:v>
      </x:c>
      <x:c r="E96" s="7" t="n">
        <x:v>26.9</x:v>
      </x:c>
      <x:c r="F96" s="7" t="str">
        <x:v>Synthetic normal variation</x:v>
      </x:c>
      <x:c r="G96" s="12" t="n">
        <x:f>1000/D96</x:f>
        <x:v>10</x:v>
      </x:c>
    </x:row>
    <x:row r="97" ht="23" customHeight="1">
      <x:c r="A97" s="8" t="n">
        <x:v>8</x:v>
      </x:c>
      <x:c r="B97" s="8" t="n">
        <x:v>3</x:v>
      </x:c>
      <x:c r="C97" s="7" t="str">
        <x:v>Computer &lt;-&gt; ESP32 AP</x:v>
      </x:c>
      <x:c r="D97" s="8" t="n">
        <x:v>100</x:v>
      </x:c>
      <x:c r="E97" s="7" t="n">
        <x:v>26.4</x:v>
      </x:c>
      <x:c r="F97" s="7" t="str">
        <x:v>Synthetic normal variation</x:v>
      </x:c>
      <x:c r="G97" s="12" t="n">
        <x:f>1000/D97</x:f>
        <x:v>10</x:v>
      </x:c>
    </x:row>
    <x:row r="98" ht="23" customHeight="1">
      <x:c r="A98" s="8" t="n">
        <x:v>8</x:v>
      </x:c>
      <x:c r="B98" s="8" t="n">
        <x:v>4</x:v>
      </x:c>
      <x:c r="C98" s="7" t="str">
        <x:v>Computer &lt;-&gt; ESP32 AP</x:v>
      </x:c>
      <x:c r="D98" s="8" t="n">
        <x:v>100</x:v>
      </x:c>
      <x:c r="E98" s="7" t="n">
        <x:v>24.3</x:v>
      </x:c>
      <x:c r="F98" s="7" t="str">
        <x:v>Synthetic normal variation</x:v>
      </x:c>
      <x:c r="G98" s="12" t="n">
        <x:f>1000/D98</x:f>
        <x:v>10</x:v>
      </x:c>
    </x:row>
    <x:row r="99" ht="23" customHeight="1">
      <x:c r="A99" s="8" t="n">
        <x:v>8</x:v>
      </x:c>
      <x:c r="B99" s="8" t="n">
        <x:v>5</x:v>
      </x:c>
      <x:c r="C99" s="7" t="str">
        <x:v>Computer &lt;-&gt; ESP32 AP</x:v>
      </x:c>
      <x:c r="D99" s="8" t="n">
        <x:v>100</x:v>
      </x:c>
      <x:c r="E99" s="7" t="n">
        <x:v>20.8</x:v>
      </x:c>
      <x:c r="F99" s="7" t="str">
        <x:v>Synthetic normal variation</x:v>
      </x:c>
      <x:c r="G99" s="12" t="n">
        <x:f>1000/D99</x:f>
        <x:v>10</x:v>
      </x:c>
    </x:row>
    <x:row r="100" ht="23" customHeight="1">
      <x:c r="A100" s="8" t="n">
        <x:v>8</x:v>
      </x:c>
      <x:c r="B100" s="8" t="n">
        <x:v>6</x:v>
      </x:c>
      <x:c r="C100" s="7" t="str">
        <x:v>Computer &lt;-&gt; ESP32 AP</x:v>
      </x:c>
      <x:c r="D100" s="8" t="n">
        <x:v>100</x:v>
      </x:c>
      <x:c r="E100" s="7" t="n">
        <x:v>22.3</x:v>
      </x:c>
      <x:c r="F100" s="7" t="str">
        <x:v>Synthetic normal variation</x:v>
      </x:c>
      <x:c r="G100" s="12" t="n">
        <x:f>1000/D100</x:f>
        <x:v>10</x:v>
      </x:c>
    </x:row>
    <x:row r="101" ht="23" customHeight="1">
      <x:c r="A101" s="8" t="n">
        <x:v>8</x:v>
      </x:c>
      <x:c r="B101" s="8" t="n">
        <x:v>7</x:v>
      </x:c>
      <x:c r="C101" s="7" t="str">
        <x:v>Computer &lt;-&gt; ESP32 AP</x:v>
      </x:c>
      <x:c r="D101" s="8" t="n">
        <x:v>100</x:v>
      </x:c>
      <x:c r="E101" s="7" t="n">
        <x:v>24.6</x:v>
      </x:c>
      <x:c r="F101" s="7" t="str">
        <x:v>Synthetic normal variation</x:v>
      </x:c>
      <x:c r="G101" s="12" t="n">
        <x:f>1000/D101</x:f>
        <x:v>10</x:v>
      </x:c>
    </x:row>
    <x:row r="102" ht="23" customHeight="1">
      <x:c r="A102" s="8" t="n">
        <x:v>8</x:v>
      </x:c>
      <x:c r="B102" s="8" t="n">
        <x:v>8</x:v>
      </x:c>
      <x:c r="C102" s="7" t="str">
        <x:v>Computer &lt;-&gt; ESP32 AP</x:v>
      </x:c>
      <x:c r="D102" s="8" t="n">
        <x:v>100</x:v>
      </x:c>
      <x:c r="E102" s="7" t="n">
        <x:v>17.9</x:v>
      </x:c>
      <x:c r="F102" s="7" t="str">
        <x:v>Synthetic normal variation</x:v>
      </x:c>
      <x:c r="G102" s="12" t="n">
        <x:f>1000/D102</x:f>
        <x:v>10</x:v>
      </x:c>
    </x:row>
    <x:row r="103" ht="23" customHeight="1">
      <x:c r="A103" s="8" t="n">
        <x:v>8</x:v>
      </x:c>
      <x:c r="B103" s="8" t="n">
        <x:v>9</x:v>
      </x:c>
      <x:c r="C103" s="7" t="str">
        <x:v>Computer &lt;-&gt; ESP32 AP</x:v>
      </x:c>
      <x:c r="D103" s="8" t="n">
        <x:v>100</x:v>
      </x:c>
      <x:c r="E103" s="7" t="n">
        <x:v>21.7</x:v>
      </x:c>
      <x:c r="F103" s="7" t="str">
        <x:v>Synthetic normal variation</x:v>
      </x:c>
      <x:c r="G103" s="12" t="n">
        <x:f>1000/D103</x:f>
        <x:v>10</x:v>
      </x:c>
    </x:row>
    <x:row r="104" ht="23" customHeight="1">
      <x:c r="A104" s="8" t="n">
        <x:v>8</x:v>
      </x:c>
      <x:c r="B104" s="8" t="n">
        <x:v>10</x:v>
      </x:c>
      <x:c r="C104" s="7" t="str">
        <x:v>Computer &lt;-&gt; ESP32 AP</x:v>
      </x:c>
      <x:c r="D104" s="8" t="n">
        <x:v>100</x:v>
      </x:c>
      <x:c r="E104" s="7" t="n">
        <x:v>16</x:v>
      </x:c>
      <x:c r="F104" s="7" t="str">
        <x:v>Synthetic normal variation</x:v>
      </x:c>
      <x:c r="G104" s="12" t="n">
        <x:f>1000/D104</x:f>
        <x:v>10</x:v>
      </x:c>
    </x:row>
    <x:row r="105" ht="23" customHeight="1">
      <x:c r="A105" s="8" t="n">
        <x:v>8</x:v>
      </x:c>
      <x:c r="B105" s="8" t="n">
        <x:v>11</x:v>
      </x:c>
      <x:c r="C105" s="7" t="str">
        <x:v>Computer &lt;-&gt; ESP32 AP</x:v>
      </x:c>
      <x:c r="D105" s="8" t="n">
        <x:v>100</x:v>
      </x:c>
      <x:c r="E105" s="7" t="n">
        <x:v>21.2</x:v>
      </x:c>
      <x:c r="F105" s="7" t="str">
        <x:v>Synthetic normal variation</x:v>
      </x:c>
      <x:c r="G105" s="12" t="n">
        <x:f>1000/D105</x:f>
        <x:v>10</x:v>
      </x:c>
    </x:row>
    <x:row r="106" ht="23" customHeight="1">
      <x:c r="A106" s="8" t="n">
        <x:v>8</x:v>
      </x:c>
      <x:c r="B106" s="8" t="n">
        <x:v>12</x:v>
      </x:c>
      <x:c r="C106" s="7" t="str">
        <x:v>Computer &lt;-&gt; ESP32 AP</x:v>
      </x:c>
      <x:c r="D106" s="8" t="n">
        <x:v>100</x:v>
      </x:c>
      <x:c r="E106" s="7" t="n">
        <x:v>10.9</x:v>
      </x:c>
      <x:c r="F106" s="7" t="str">
        <x:v>Synthetic normal variation</x:v>
      </x:c>
      <x:c r="G106" s="12" t="n">
        <x:f>1000/D106</x:f>
        <x:v>10</x:v>
      </x:c>
    </x:row>
    <x:row r="107" ht="23" customHeight="1">
      <x:c r="A107" s="8" t="n">
        <x:v>8</x:v>
      </x:c>
      <x:c r="B107" s="8" t="n">
        <x:v>13</x:v>
      </x:c>
      <x:c r="C107" s="7" t="str">
        <x:v>Computer &lt;-&gt; ESP32 AP</x:v>
      </x:c>
      <x:c r="D107" s="8" t="n">
        <x:v>100</x:v>
      </x:c>
      <x:c r="E107" s="7" t="n">
        <x:v>59.7</x:v>
      </x:c>
      <x:c r="F107" s="7" t="str">
        <x:v>Simulated delay spike</x:v>
      </x:c>
      <x:c r="G107" s="12" t="n">
        <x:f>1000/D107</x:f>
        <x:v>10</x:v>
      </x:c>
    </x:row>
    <x:row r="108" ht="23" customHeight="1">
      <x:c r="A108" s="8" t="n">
        <x:v>8</x:v>
      </x:c>
      <x:c r="B108" s="8" t="n">
        <x:v>14</x:v>
      </x:c>
      <x:c r="C108" s="7" t="str">
        <x:v>Computer &lt;-&gt; ESP32 AP</x:v>
      </x:c>
      <x:c r="D108" s="8" t="n">
        <x:v>100</x:v>
      </x:c>
      <x:c r="E108" s="7" t="n">
        <x:v>20.6</x:v>
      </x:c>
      <x:c r="F108" s="7" t="str">
        <x:v>Synthetic normal variation</x:v>
      </x:c>
      <x:c r="G108" s="12" t="n">
        <x:f>1000/D108</x:f>
        <x:v>10</x:v>
      </x:c>
    </x:row>
    <x:row r="109" ht="23" customHeight="1">
      <x:c r="A109" s="8" t="n">
        <x:v>8</x:v>
      </x:c>
      <x:c r="B109" s="8" t="n">
        <x:v>15</x:v>
      </x:c>
      <x:c r="C109" s="7" t="str">
        <x:v>Computer &lt;-&gt; ESP32 AP</x:v>
      </x:c>
      <x:c r="D109" s="8" t="n">
        <x:v>100</x:v>
      </x:c>
      <x:c r="E109" s="7" t="n">
        <x:v>20.8</x:v>
      </x:c>
      <x:c r="F109" s="7" t="str">
        <x:v>Synthetic normal variation</x:v>
      </x:c>
      <x:c r="G109" s="12" t="n">
        <x:f>1000/D109</x:f>
        <x:v>10</x:v>
      </x:c>
    </x:row>
    <x:row r="110" ht="23" customHeight="1">
      <x:c r="A110" s="8" t="n">
        <x:v>8</x:v>
      </x:c>
      <x:c r="B110" s="8" t="n">
        <x:v>16</x:v>
      </x:c>
      <x:c r="C110" s="7" t="str">
        <x:v>Computer &lt;-&gt; ESP32 AP</x:v>
      </x:c>
      <x:c r="D110" s="8" t="n">
        <x:v>100</x:v>
      </x:c>
      <x:c r="E110" s="7" t="n">
        <x:v>24.4</x:v>
      </x:c>
      <x:c r="F110" s="7" t="str">
        <x:v>Synthetic normal variation</x:v>
      </x:c>
      <x:c r="G110" s="12" t="n">
        <x:f>1000/D110</x:f>
        <x:v>10</x:v>
      </x:c>
    </x:row>
    <x:row r="111" ht="23" customHeight="1">
      <x:c r="A111" s="8" t="n">
        <x:v>8</x:v>
      </x:c>
      <x:c r="B111" s="8" t="n">
        <x:v>17</x:v>
      </x:c>
      <x:c r="C111" s="7" t="str">
        <x:v>Computer &lt;-&gt; ESP32 AP</x:v>
      </x:c>
      <x:c r="D111" s="8" t="n">
        <x:v>100</x:v>
      </x:c>
      <x:c r="E111" s="7" t="n">
        <x:v>25.5</x:v>
      </x:c>
      <x:c r="F111" s="7" t="str">
        <x:v>Synthetic normal variation</x:v>
      </x:c>
      <x:c r="G111" s="12" t="n">
        <x:f>1000/D111</x:f>
        <x:v>10</x:v>
      </x:c>
    </x:row>
    <x:row r="112" ht="23" customHeight="1">
      <x:c r="A112" s="8" t="n">
        <x:v>8</x:v>
      </x:c>
      <x:c r="B112" s="8" t="n">
        <x:v>18</x:v>
      </x:c>
      <x:c r="C112" s="7" t="str">
        <x:v>Computer &lt;-&gt; ESP32 AP</x:v>
      </x:c>
      <x:c r="D112" s="8" t="n">
        <x:v>100</x:v>
      </x:c>
      <x:c r="E112" s="7" t="n">
        <x:v>29.9</x:v>
      </x:c>
      <x:c r="F112" s="7" t="str">
        <x:v>Synthetic normal variation</x:v>
      </x:c>
      <x:c r="G112" s="12" t="n">
        <x:f>1000/D112</x:f>
        <x:v>10</x:v>
      </x:c>
    </x:row>
    <x:row r="113" ht="23" customHeight="1">
      <x:c r="A113" s="8" t="n">
        <x:v>8</x:v>
      </x:c>
      <x:c r="B113" s="8" t="n">
        <x:v>19</x:v>
      </x:c>
      <x:c r="C113" s="7" t="str">
        <x:v>Computer &lt;-&gt; ESP32 AP</x:v>
      </x:c>
      <x:c r="D113" s="8" t="n">
        <x:v>100</x:v>
      </x:c>
      <x:c r="E113" s="7" t="n">
        <x:v>20.1</x:v>
      </x:c>
      <x:c r="F113" s="7" t="str">
        <x:v>Synthetic normal variation</x:v>
      </x:c>
      <x:c r="G113" s="12" t="n">
        <x:f>1000/D113</x:f>
        <x:v>10</x:v>
      </x:c>
    </x:row>
    <x:row r="114" ht="23" customHeight="1">
      <x:c r="A114" s="8" t="n">
        <x:v>8</x:v>
      </x:c>
      <x:c r="B114" s="8" t="n">
        <x:v>20</x:v>
      </x:c>
      <x:c r="C114" s="7" t="str">
        <x:v>Computer &lt;-&gt; ESP32 AP</x:v>
      </x:c>
      <x:c r="D114" s="8" t="n">
        <x:v>100</x:v>
      </x:c>
      <x:c r="E114" s="7" t="n">
        <x:v>23.2</x:v>
      </x:c>
      <x:c r="F114" s="7" t="str">
        <x:v>Synthetic normal variation</x:v>
      </x:c>
      <x:c r="G114" s="12" t="n">
        <x:f>1000/D114</x:f>
        <x:v>10</x:v>
      </x:c>
    </x:row>
    <x:row r="115" ht="23" customHeight="1">
      <x:c r="A115" s="8" t="n">
        <x:v>8</x:v>
      </x:c>
      <x:c r="B115" s="8" t="n">
        <x:v>21</x:v>
      </x:c>
      <x:c r="C115" s="7" t="str">
        <x:v>Computer &lt;-&gt; ESP32 AP</x:v>
      </x:c>
      <x:c r="D115" s="8" t="n">
        <x:v>100</x:v>
      </x:c>
      <x:c r="E115" s="7" t="n">
        <x:v>31.2</x:v>
      </x:c>
      <x:c r="F115" s="7" t="str">
        <x:v>Synthetic normal variation</x:v>
      </x:c>
      <x:c r="G115" s="12" t="n">
        <x:f>1000/D115</x:f>
        <x:v>10</x:v>
      </x:c>
    </x:row>
    <x:row r="116" ht="23" customHeight="1">
      <x:c r="A116" s="8" t="n">
        <x:v>8</x:v>
      </x:c>
      <x:c r="B116" s="8" t="n">
        <x:v>22</x:v>
      </x:c>
      <x:c r="C116" s="7" t="str">
        <x:v>Computer &lt;-&gt; ESP32 AP</x:v>
      </x:c>
      <x:c r="D116" s="8" t="n">
        <x:v>100</x:v>
      </x:c>
      <x:c r="E116" s="7" t="n">
        <x:v>23.6</x:v>
      </x:c>
      <x:c r="F116" s="7" t="str">
        <x:v>Synthetic normal variation</x:v>
      </x:c>
      <x:c r="G116" s="12" t="n">
        <x:f>1000/D116</x:f>
        <x:v>10</x:v>
      </x:c>
    </x:row>
    <x:row r="117" ht="23" customHeight="1">
      <x:c r="A117" s="8" t="n">
        <x:v>8</x:v>
      </x:c>
      <x:c r="B117" s="8" t="n">
        <x:v>23</x:v>
      </x:c>
      <x:c r="C117" s="7" t="str">
        <x:v>Computer &lt;-&gt; ESP32 AP</x:v>
      </x:c>
      <x:c r="D117" s="8" t="n">
        <x:v>100</x:v>
      </x:c>
      <x:c r="E117" s="7" t="n">
        <x:v>12.7</x:v>
      </x:c>
      <x:c r="F117" s="7" t="str">
        <x:v>Synthetic normal variation</x:v>
      </x:c>
      <x:c r="G117" s="12" t="n">
        <x:f>1000/D117</x:f>
        <x:v>10</x:v>
      </x:c>
    </x:row>
    <x:row r="118" ht="23" customHeight="1">
      <x:c r="A118" s="8" t="n">
        <x:v>8</x:v>
      </x:c>
      <x:c r="B118" s="8" t="n">
        <x:v>24</x:v>
      </x:c>
      <x:c r="C118" s="7" t="str">
        <x:v>Computer &lt;-&gt; ESP32 AP</x:v>
      </x:c>
      <x:c r="D118" s="8" t="n">
        <x:v>100</x:v>
      </x:c>
      <x:c r="E118" s="7" t="n">
        <x:v>20.8</x:v>
      </x:c>
      <x:c r="F118" s="7" t="str">
        <x:v>Synthetic normal variation</x:v>
      </x:c>
      <x:c r="G118" s="12" t="n">
        <x:f>1000/D118</x:f>
        <x:v>10</x:v>
      </x:c>
    </x:row>
    <x:row r="119" ht="23" customHeight="1">
      <x:c r="A119" s="8" t="n">
        <x:v>8</x:v>
      </x:c>
      <x:c r="B119" s="8" t="n">
        <x:v>25</x:v>
      </x:c>
      <x:c r="C119" s="7" t="str">
        <x:v>Computer &lt;-&gt; ESP32 AP</x:v>
      </x:c>
      <x:c r="D119" s="8" t="n">
        <x:v>100</x:v>
      </x:c>
      <x:c r="E119" s="7" t="n">
        <x:v>20.4</x:v>
      </x:c>
      <x:c r="F119" s="7" t="str">
        <x:v>Synthetic normal variation</x:v>
      </x:c>
      <x:c r="G119" s="12" t="n">
        <x:f>1000/D119</x:f>
        <x:v>10</x:v>
      </x:c>
    </x:row>
    <x:row r="120" ht="23" customHeight="1">
      <x:c r="A120" s="8" t="n">
        <x:v>8</x:v>
      </x:c>
      <x:c r="B120" s="8" t="n">
        <x:v>26</x:v>
      </x:c>
      <x:c r="C120" s="7" t="str">
        <x:v>Computer &lt;-&gt; ESP32 AP</x:v>
      </x:c>
      <x:c r="D120" s="8" t="n">
        <x:v>100</x:v>
      </x:c>
      <x:c r="E120" s="7" t="n">
        <x:v>16.4</x:v>
      </x:c>
      <x:c r="F120" s="7" t="str">
        <x:v>Synthetic normal variation</x:v>
      </x:c>
      <x:c r="G120" s="12" t="n">
        <x:f>1000/D120</x:f>
        <x:v>10</x:v>
      </x:c>
    </x:row>
    <x:row r="121" ht="23" customHeight="1">
      <x:c r="A121" s="8" t="n">
        <x:v>8</x:v>
      </x:c>
      <x:c r="B121" s="8" t="n">
        <x:v>27</x:v>
      </x:c>
      <x:c r="C121" s="7" t="str">
        <x:v>Computer &lt;-&gt; ESP32 AP</x:v>
      </x:c>
      <x:c r="D121" s="8" t="n">
        <x:v>100</x:v>
      </x:c>
      <x:c r="E121" s="7" t="n">
        <x:v>60.3</x:v>
      </x:c>
      <x:c r="F121" s="7" t="str">
        <x:v>Simulated delay spike</x:v>
      </x:c>
      <x:c r="G121" s="12" t="n">
        <x:f>1000/D121</x:f>
        <x:v>10</x:v>
      </x:c>
    </x:row>
    <x:row r="122" ht="23" customHeight="1">
      <x:c r="A122" s="8" t="n">
        <x:v>8</x:v>
      </x:c>
      <x:c r="B122" s="8" t="n">
        <x:v>28</x:v>
      </x:c>
      <x:c r="C122" s="7" t="str">
        <x:v>Computer &lt;-&gt; ESP32 AP</x:v>
      </x:c>
      <x:c r="D122" s="8" t="n">
        <x:v>100</x:v>
      </x:c>
      <x:c r="E122" s="7" t="n">
        <x:v>13.9</x:v>
      </x:c>
      <x:c r="F122" s="7" t="str">
        <x:v>Synthetic normal variation</x:v>
      </x:c>
      <x:c r="G122" s="12" t="n">
        <x:f>1000/D122</x:f>
        <x:v>10</x:v>
      </x:c>
    </x:row>
    <x:row r="123" ht="23" customHeight="1">
      <x:c r="A123" s="8" t="n">
        <x:v>8</x:v>
      </x:c>
      <x:c r="B123" s="8" t="n">
        <x:v>29</x:v>
      </x:c>
      <x:c r="C123" s="7" t="str">
        <x:v>Computer &lt;-&gt; ESP32 AP</x:v>
      </x:c>
      <x:c r="D123" s="8" t="n">
        <x:v>100</x:v>
      </x:c>
      <x:c r="E123" s="7" t="n">
        <x:v>19.5</x:v>
      </x:c>
      <x:c r="F123" s="7" t="str">
        <x:v>Synthetic normal variation</x:v>
      </x:c>
      <x:c r="G123" s="12" t="n">
        <x:f>1000/D123</x:f>
        <x:v>10</x:v>
      </x:c>
    </x:row>
    <x:row r="124" ht="23" customHeight="1">
      <x:c r="A124" s="8" t="n">
        <x:v>8</x:v>
      </x:c>
      <x:c r="B124" s="8" t="n">
        <x:v>30</x:v>
      </x:c>
      <x:c r="C124" s="7" t="str">
        <x:v>Computer &lt;-&gt; ESP32 AP</x:v>
      </x:c>
      <x:c r="D124" s="8" t="n">
        <x:v>100</x:v>
      </x:c>
      <x:c r="E124" s="7" t="n">
        <x:v>17.3</x:v>
      </x:c>
      <x:c r="F124" s="7" t="str">
        <x:v>Synthetic normal variation</x:v>
      </x:c>
      <x:c r="G124" s="12" t="n">
        <x:f>1000/D124</x:f>
        <x:v>10</x:v>
      </x:c>
    </x:row>
    <x:row r="125" ht="23" customHeight="1">
      <x:c r="A125" s="8" t="n">
        <x:v>9</x:v>
      </x:c>
      <x:c r="B125" s="8" t="n">
        <x:v>1</x:v>
      </x:c>
      <x:c r="C125" s="7" t="str">
        <x:v>Computer &lt;-&gt; ESP32 AP</x:v>
      </x:c>
      <x:c r="D125" s="8" t="n">
        <x:v>100</x:v>
      </x:c>
      <x:c r="E125" s="7" t="n">
        <x:v>11</x:v>
      </x:c>
      <x:c r="F125" s="7" t="str">
        <x:v>Synthetic normal variation</x:v>
      </x:c>
      <x:c r="G125" s="12" t="n">
        <x:f>1000/D125</x:f>
        <x:v>10</x:v>
      </x:c>
    </x:row>
    <x:row r="126" ht="23" customHeight="1">
      <x:c r="A126" s="8" t="n">
        <x:v>9</x:v>
      </x:c>
      <x:c r="B126" s="8" t="n">
        <x:v>2</x:v>
      </x:c>
      <x:c r="C126" s="7" t="str">
        <x:v>Computer &lt;-&gt; ESP32 AP</x:v>
      </x:c>
      <x:c r="D126" s="8" t="n">
        <x:v>100</x:v>
      </x:c>
      <x:c r="E126" s="7" t="n">
        <x:v>18.5</x:v>
      </x:c>
      <x:c r="F126" s="7" t="str">
        <x:v>Synthetic normal variation</x:v>
      </x:c>
      <x:c r="G126" s="12" t="n">
        <x:f>1000/D126</x:f>
        <x:v>10</x:v>
      </x:c>
    </x:row>
    <x:row r="127" ht="23" customHeight="1">
      <x:c r="A127" s="8" t="n">
        <x:v>9</x:v>
      </x:c>
      <x:c r="B127" s="8" t="n">
        <x:v>3</x:v>
      </x:c>
      <x:c r="C127" s="7" t="str">
        <x:v>Computer &lt;-&gt; ESP32 AP</x:v>
      </x:c>
      <x:c r="D127" s="8" t="n">
        <x:v>100</x:v>
      </x:c>
      <x:c r="E127" s="7" t="n">
        <x:v>24.9</x:v>
      </x:c>
      <x:c r="F127" s="7" t="str">
        <x:v>Synthetic normal variation</x:v>
      </x:c>
      <x:c r="G127" s="12" t="n">
        <x:f>1000/D127</x:f>
        <x:v>10</x:v>
      </x:c>
    </x:row>
    <x:row r="128" ht="23" customHeight="1">
      <x:c r="A128" s="8" t="n">
        <x:v>9</x:v>
      </x:c>
      <x:c r="B128" s="8" t="n">
        <x:v>4</x:v>
      </x:c>
      <x:c r="C128" s="7" t="str">
        <x:v>Computer &lt;-&gt; ESP32 AP</x:v>
      </x:c>
      <x:c r="D128" s="8" t="n">
        <x:v>100</x:v>
      </x:c>
      <x:c r="E128" s="7" t="n">
        <x:v>23.1</x:v>
      </x:c>
      <x:c r="F128" s="7" t="str">
        <x:v>Synthetic normal variation</x:v>
      </x:c>
      <x:c r="G128" s="12" t="n">
        <x:f>1000/D128</x:f>
        <x:v>10</x:v>
      </x:c>
    </x:row>
    <x:row r="129" ht="23" customHeight="1">
      <x:c r="A129" s="8" t="n">
        <x:v>9</x:v>
      </x:c>
      <x:c r="B129" s="8" t="n">
        <x:v>5</x:v>
      </x:c>
      <x:c r="C129" s="7" t="str">
        <x:v>Computer &lt;-&gt; ESP32 AP</x:v>
      </x:c>
      <x:c r="D129" s="8" t="n">
        <x:v>100</x:v>
      </x:c>
      <x:c r="E129" s="7" t="n">
        <x:v>20.5</x:v>
      </x:c>
      <x:c r="F129" s="7" t="str">
        <x:v>Synthetic normal variation</x:v>
      </x:c>
      <x:c r="G129" s="12" t="n">
        <x:f>1000/D129</x:f>
        <x:v>10</x:v>
      </x:c>
    </x:row>
    <x:row r="130" ht="23" customHeight="1">
      <x:c r="A130" s="8" t="n">
        <x:v>9</x:v>
      </x:c>
      <x:c r="B130" s="8" t="n">
        <x:v>6</x:v>
      </x:c>
      <x:c r="C130" s="7" t="str">
        <x:v>Computer &lt;-&gt; ESP32 AP</x:v>
      </x:c>
      <x:c r="D130" s="8" t="n">
        <x:v>100</x:v>
      </x:c>
      <x:c r="E130" s="7" t="n">
        <x:v>20.5</x:v>
      </x:c>
      <x:c r="F130" s="7" t="str">
        <x:v>Synthetic normal variation</x:v>
      </x:c>
      <x:c r="G130" s="12" t="n">
        <x:f>1000/D130</x:f>
        <x:v>10</x:v>
      </x:c>
    </x:row>
    <x:row r="131" ht="23" customHeight="1">
      <x:c r="A131" s="8" t="n">
        <x:v>9</x:v>
      </x:c>
      <x:c r="B131" s="8" t="n">
        <x:v>7</x:v>
      </x:c>
      <x:c r="C131" s="7" t="str">
        <x:v>Computer &lt;-&gt; ESP32 AP</x:v>
      </x:c>
      <x:c r="D131" s="8" t="n">
        <x:v>100</x:v>
      </x:c>
      <x:c r="E131" s="7" t="n">
        <x:v>19.2</x:v>
      </x:c>
      <x:c r="F131" s="7" t="str">
        <x:v>Synthetic normal variation</x:v>
      </x:c>
      <x:c r="G131" s="12" t="n">
        <x:f>1000/D131</x:f>
        <x:v>10</x:v>
      </x:c>
    </x:row>
    <x:row r="132" ht="23" customHeight="1">
      <x:c r="A132" s="8" t="n">
        <x:v>9</x:v>
      </x:c>
      <x:c r="B132" s="8" t="n">
        <x:v>8</x:v>
      </x:c>
      <x:c r="C132" s="7" t="str">
        <x:v>Computer &lt;-&gt; ESP32 AP</x:v>
      </x:c>
      <x:c r="D132" s="8" t="n">
        <x:v>100</x:v>
      </x:c>
      <x:c r="E132" s="7" t="n">
        <x:v>16</x:v>
      </x:c>
      <x:c r="F132" s="7" t="str">
        <x:v>Synthetic normal variation</x:v>
      </x:c>
      <x:c r="G132" s="12" t="n">
        <x:f>1000/D132</x:f>
        <x:v>10</x:v>
      </x:c>
    </x:row>
    <x:row r="133" ht="23" customHeight="1">
      <x:c r="A133" s="8" t="n">
        <x:v>9</x:v>
      </x:c>
      <x:c r="B133" s="8" t="n">
        <x:v>9</x:v>
      </x:c>
      <x:c r="C133" s="7" t="str">
        <x:v>Computer &lt;-&gt; ESP32 AP</x:v>
      </x:c>
      <x:c r="D133" s="8" t="n">
        <x:v>100</x:v>
      </x:c>
      <x:c r="E133" s="7" t="n">
        <x:v>24.1</x:v>
      </x:c>
      <x:c r="F133" s="7" t="str">
        <x:v>Synthetic normal variation</x:v>
      </x:c>
      <x:c r="G133" s="12" t="n">
        <x:f>1000/D133</x:f>
        <x:v>10</x:v>
      </x:c>
    </x:row>
    <x:row r="134" ht="23" customHeight="1">
      <x:c r="A134" s="8" t="n">
        <x:v>9</x:v>
      </x:c>
      <x:c r="B134" s="8" t="n">
        <x:v>10</x:v>
      </x:c>
      <x:c r="C134" s="7" t="str">
        <x:v>Computer &lt;-&gt; ESP32 AP</x:v>
      </x:c>
      <x:c r="D134" s="8" t="n">
        <x:v>100</x:v>
      </x:c>
      <x:c r="E134" s="7" t="n">
        <x:v>20.8</x:v>
      </x:c>
      <x:c r="F134" s="7" t="str">
        <x:v>Synthetic normal variation</x:v>
      </x:c>
      <x:c r="G134" s="12" t="n">
        <x:f>1000/D134</x:f>
        <x:v>10</x:v>
      </x:c>
    </x:row>
    <x:row r="135" ht="23" customHeight="1">
      <x:c r="A135" s="8" t="n">
        <x:v>9</x:v>
      </x:c>
      <x:c r="B135" s="8" t="n">
        <x:v>11</x:v>
      </x:c>
      <x:c r="C135" s="7" t="str">
        <x:v>Computer &lt;-&gt; ESP32 AP</x:v>
      </x:c>
      <x:c r="D135" s="8" t="n">
        <x:v>100</x:v>
      </x:c>
      <x:c r="E135" s="7" t="n">
        <x:v>13.7</x:v>
      </x:c>
      <x:c r="F135" s="7" t="str">
        <x:v>Synthetic normal variation</x:v>
      </x:c>
      <x:c r="G135" s="12" t="n">
        <x:f>1000/D135</x:f>
        <x:v>10</x:v>
      </x:c>
    </x:row>
    <x:row r="136" ht="23" customHeight="1">
      <x:c r="A136" s="8" t="n">
        <x:v>9</x:v>
      </x:c>
      <x:c r="B136" s="8" t="n">
        <x:v>12</x:v>
      </x:c>
      <x:c r="C136" s="7" t="str">
        <x:v>Computer &lt;-&gt; ESP32 AP</x:v>
      </x:c>
      <x:c r="D136" s="8" t="n">
        <x:v>100</x:v>
      </x:c>
      <x:c r="E136" s="7" t="n">
        <x:v>24.3</x:v>
      </x:c>
      <x:c r="F136" s="7" t="str">
        <x:v>Synthetic normal variation</x:v>
      </x:c>
      <x:c r="G136" s="12" t="n">
        <x:f>1000/D136</x:f>
        <x:v>10</x:v>
      </x:c>
    </x:row>
    <x:row r="137" ht="23" customHeight="1">
      <x:c r="A137" s="8" t="n">
        <x:v>9</x:v>
      </x:c>
      <x:c r="B137" s="8" t="n">
        <x:v>13</x:v>
      </x:c>
      <x:c r="C137" s="7" t="str">
        <x:v>Computer &lt;-&gt; ESP32 AP</x:v>
      </x:c>
      <x:c r="D137" s="8" t="n">
        <x:v>100</x:v>
      </x:c>
      <x:c r="E137" s="7" t="n">
        <x:v>61.7</x:v>
      </x:c>
      <x:c r="F137" s="7" t="str">
        <x:v>Simulated delay spike</x:v>
      </x:c>
      <x:c r="G137" s="12" t="n">
        <x:f>1000/D137</x:f>
        <x:v>10</x:v>
      </x:c>
    </x:row>
    <x:row r="138" ht="23" customHeight="1">
      <x:c r="A138" s="8" t="n">
        <x:v>9</x:v>
      </x:c>
      <x:c r="B138" s="8" t="n">
        <x:v>14</x:v>
      </x:c>
      <x:c r="C138" s="7" t="str">
        <x:v>Computer &lt;-&gt; ESP32 AP</x:v>
      </x:c>
      <x:c r="D138" s="8" t="n">
        <x:v>100</x:v>
      </x:c>
      <x:c r="E138" s="7" t="n">
        <x:v>15.3</x:v>
      </x:c>
      <x:c r="F138" s="7" t="str">
        <x:v>Synthetic normal variation</x:v>
      </x:c>
      <x:c r="G138" s="12" t="n">
        <x:f>1000/D138</x:f>
        <x:v>10</x:v>
      </x:c>
    </x:row>
    <x:row r="139" ht="23" customHeight="1">
      <x:c r="A139" s="8" t="n">
        <x:v>9</x:v>
      </x:c>
      <x:c r="B139" s="8" t="n">
        <x:v>15</x:v>
      </x:c>
      <x:c r="C139" s="7" t="str">
        <x:v>Computer &lt;-&gt; ESP32 AP</x:v>
      </x:c>
      <x:c r="D139" s="8" t="n">
        <x:v>100</x:v>
      </x:c>
      <x:c r="E139" s="7" t="n">
        <x:v>12.4</x:v>
      </x:c>
      <x:c r="F139" s="7" t="str">
        <x:v>Synthetic normal variation</x:v>
      </x:c>
      <x:c r="G139" s="12" t="n">
        <x:f>1000/D139</x:f>
        <x:v>10</x:v>
      </x:c>
    </x:row>
    <x:row r="140" ht="23" customHeight="1">
      <x:c r="A140" s="8" t="n">
        <x:v>9</x:v>
      </x:c>
      <x:c r="B140" s="8" t="n">
        <x:v>16</x:v>
      </x:c>
      <x:c r="C140" s="7" t="str">
        <x:v>Computer &lt;-&gt; ESP32 AP</x:v>
      </x:c>
      <x:c r="D140" s="8" t="n">
        <x:v>100</x:v>
      </x:c>
      <x:c r="E140" s="7" t="n">
        <x:v>16.9</x:v>
      </x:c>
      <x:c r="F140" s="7" t="str">
        <x:v>Synthetic normal variation</x:v>
      </x:c>
      <x:c r="G140" s="12" t="n">
        <x:f>1000/D140</x:f>
        <x:v>10</x:v>
      </x:c>
    </x:row>
    <x:row r="141" ht="23" customHeight="1">
      <x:c r="A141" s="8" t="n">
        <x:v>9</x:v>
      </x:c>
      <x:c r="B141" s="8" t="n">
        <x:v>17</x:v>
      </x:c>
      <x:c r="C141" s="7" t="str">
        <x:v>Computer &lt;-&gt; ESP32 AP</x:v>
      </x:c>
      <x:c r="D141" s="8" t="n">
        <x:v>100</x:v>
      </x:c>
      <x:c r="E141" s="7" t="n">
        <x:v>18.8</x:v>
      </x:c>
      <x:c r="F141" s="7" t="str">
        <x:v>Synthetic normal variation</x:v>
      </x:c>
      <x:c r="G141" s="12" t="n">
        <x:f>1000/D141</x:f>
        <x:v>10</x:v>
      </x:c>
    </x:row>
    <x:row r="142" ht="23" customHeight="1">
      <x:c r="A142" s="8" t="n">
        <x:v>9</x:v>
      </x:c>
      <x:c r="B142" s="8" t="n">
        <x:v>18</x:v>
      </x:c>
      <x:c r="C142" s="7" t="str">
        <x:v>Computer &lt;-&gt; ESP32 AP</x:v>
      </x:c>
      <x:c r="D142" s="8" t="n">
        <x:v>100</x:v>
      </x:c>
      <x:c r="E142" s="7" t="n">
        <x:v>25</x:v>
      </x:c>
      <x:c r="F142" s="7" t="str">
        <x:v>Synthetic normal variation</x:v>
      </x:c>
      <x:c r="G142" s="12" t="n">
        <x:f>1000/D142</x:f>
        <x:v>10</x:v>
      </x:c>
    </x:row>
    <x:row r="143" ht="23" customHeight="1">
      <x:c r="A143" s="8" t="n">
        <x:v>9</x:v>
      </x:c>
      <x:c r="B143" s="8" t="n">
        <x:v>19</x:v>
      </x:c>
      <x:c r="C143" s="7" t="str">
        <x:v>Computer &lt;-&gt; ESP32 AP</x:v>
      </x:c>
      <x:c r="D143" s="8" t="n">
        <x:v>100</x:v>
      </x:c>
      <x:c r="E143" s="7" t="n">
        <x:v>19.1</x:v>
      </x:c>
      <x:c r="F143" s="7" t="str">
        <x:v>Synthetic normal variation</x:v>
      </x:c>
      <x:c r="G143" s="12" t="n">
        <x:f>1000/D143</x:f>
        <x:v>10</x:v>
      </x:c>
    </x:row>
    <x:row r="144" ht="23" customHeight="1">
      <x:c r="A144" s="8" t="n">
        <x:v>9</x:v>
      </x:c>
      <x:c r="B144" s="8" t="n">
        <x:v>20</x:v>
      </x:c>
      <x:c r="C144" s="7" t="str">
        <x:v>Computer &lt;-&gt; ESP32 AP</x:v>
      </x:c>
      <x:c r="D144" s="8" t="n">
        <x:v>100</x:v>
      </x:c>
      <x:c r="E144" s="7" t="n">
        <x:v>16.8</x:v>
      </x:c>
      <x:c r="F144" s="7" t="str">
        <x:v>Synthetic normal variation</x:v>
      </x:c>
      <x:c r="G144" s="12" t="n">
        <x:f>1000/D144</x:f>
        <x:v>10</x:v>
      </x:c>
    </x:row>
    <x:row r="145" ht="23" customHeight="1">
      <x:c r="A145" s="8" t="n">
        <x:v>9</x:v>
      </x:c>
      <x:c r="B145" s="8" t="n">
        <x:v>21</x:v>
      </x:c>
      <x:c r="C145" s="7" t="str">
        <x:v>Computer &lt;-&gt; ESP32 AP</x:v>
      </x:c>
      <x:c r="D145" s="8" t="n">
        <x:v>100</x:v>
      </x:c>
      <x:c r="E145" s="7" t="n">
        <x:v>18.2</x:v>
      </x:c>
      <x:c r="F145" s="7" t="str">
        <x:v>Synthetic normal variation</x:v>
      </x:c>
      <x:c r="G145" s="12" t="n">
        <x:f>1000/D145</x:f>
        <x:v>10</x:v>
      </x:c>
    </x:row>
    <x:row r="146" ht="23" customHeight="1">
      <x:c r="A146" s="8" t="n">
        <x:v>9</x:v>
      </x:c>
      <x:c r="B146" s="8" t="n">
        <x:v>22</x:v>
      </x:c>
      <x:c r="C146" s="7" t="str">
        <x:v>Computer &lt;-&gt; ESP32 AP</x:v>
      </x:c>
      <x:c r="D146" s="8" t="n">
        <x:v>100</x:v>
      </x:c>
      <x:c r="E146" s="7" t="n">
        <x:v>17.1</x:v>
      </x:c>
      <x:c r="F146" s="7" t="str">
        <x:v>Synthetic normal variation</x:v>
      </x:c>
      <x:c r="G146" s="12" t="n">
        <x:f>1000/D146</x:f>
        <x:v>10</x:v>
      </x:c>
    </x:row>
    <x:row r="147" ht="23" customHeight="1">
      <x:c r="A147" s="8" t="n">
        <x:v>9</x:v>
      </x:c>
      <x:c r="B147" s="8" t="n">
        <x:v>23</x:v>
      </x:c>
      <x:c r="C147" s="7" t="str">
        <x:v>Computer &lt;-&gt; ESP32 AP</x:v>
      </x:c>
      <x:c r="D147" s="8" t="n">
        <x:v>100</x:v>
      </x:c>
      <x:c r="E147" s="7" t="n">
        <x:v>17.1</x:v>
      </x:c>
      <x:c r="F147" s="7" t="str">
        <x:v>Synthetic normal variation</x:v>
      </x:c>
      <x:c r="G147" s="12" t="n">
        <x:f>1000/D147</x:f>
        <x:v>10</x:v>
      </x:c>
    </x:row>
    <x:row r="148" ht="23" customHeight="1">
      <x:c r="A148" s="8" t="n">
        <x:v>9</x:v>
      </x:c>
      <x:c r="B148" s="8" t="n">
        <x:v>24</x:v>
      </x:c>
      <x:c r="C148" s="7" t="str">
        <x:v>Computer &lt;-&gt; ESP32 AP</x:v>
      </x:c>
      <x:c r="D148" s="8" t="n">
        <x:v>100</x:v>
      </x:c>
      <x:c r="E148" s="7" t="n">
        <x:v>16.8</x:v>
      </x:c>
      <x:c r="F148" s="7" t="str">
        <x:v>Synthetic normal variation</x:v>
      </x:c>
      <x:c r="G148" s="12" t="n">
        <x:f>1000/D148</x:f>
        <x:v>10</x:v>
      </x:c>
    </x:row>
    <x:row r="149" ht="23" customHeight="1">
      <x:c r="A149" s="8" t="n">
        <x:v>9</x:v>
      </x:c>
      <x:c r="B149" s="8" t="n">
        <x:v>25</x:v>
      </x:c>
      <x:c r="C149" s="7" t="str">
        <x:v>Computer &lt;-&gt; ESP32 AP</x:v>
      </x:c>
      <x:c r="D149" s="8" t="n">
        <x:v>100</x:v>
      </x:c>
      <x:c r="E149" s="7" t="n">
        <x:v>17</x:v>
      </x:c>
      <x:c r="F149" s="7" t="str">
        <x:v>Synthetic normal variation</x:v>
      </x:c>
      <x:c r="G149" s="12" t="n">
        <x:f>1000/D149</x:f>
        <x:v>10</x:v>
      </x:c>
    </x:row>
    <x:row r="150" ht="23" customHeight="1">
      <x:c r="A150" s="8" t="n">
        <x:v>9</x:v>
      </x:c>
      <x:c r="B150" s="8" t="n">
        <x:v>26</x:v>
      </x:c>
      <x:c r="C150" s="7" t="str">
        <x:v>Computer &lt;-&gt; ESP32 AP</x:v>
      </x:c>
      <x:c r="D150" s="8" t="n">
        <x:v>100</x:v>
      </x:c>
      <x:c r="E150" s="7" t="n">
        <x:v>22.8</x:v>
      </x:c>
      <x:c r="F150" s="7" t="str">
        <x:v>Synthetic normal variation</x:v>
      </x:c>
      <x:c r="G150" s="12" t="n">
        <x:f>1000/D150</x:f>
        <x:v>10</x:v>
      </x:c>
    </x:row>
    <x:row r="151" ht="23" customHeight="1">
      <x:c r="A151" s="8" t="n">
        <x:v>9</x:v>
      </x:c>
      <x:c r="B151" s="8" t="n">
        <x:v>27</x:v>
      </x:c>
      <x:c r="C151" s="7" t="str">
        <x:v>Computer &lt;-&gt; ESP32 AP</x:v>
      </x:c>
      <x:c r="D151" s="8" t="n">
        <x:v>100</x:v>
      </x:c>
      <x:c r="E151" s="7" t="n">
        <x:v>49.8</x:v>
      </x:c>
      <x:c r="F151" s="7" t="str">
        <x:v>Simulated delay spike</x:v>
      </x:c>
      <x:c r="G151" s="12" t="n">
        <x:f>1000/D151</x:f>
        <x:v>10</x:v>
      </x:c>
    </x:row>
    <x:row r="152" ht="23" customHeight="1">
      <x:c r="A152" s="8" t="n">
        <x:v>9</x:v>
      </x:c>
      <x:c r="B152" s="8" t="n">
        <x:v>28</x:v>
      </x:c>
      <x:c r="C152" s="7" t="str">
        <x:v>Computer &lt;-&gt; ESP32 AP</x:v>
      </x:c>
      <x:c r="D152" s="8" t="n">
        <x:v>100</x:v>
      </x:c>
      <x:c r="E152" s="7" t="n">
        <x:v>17.1</x:v>
      </x:c>
      <x:c r="F152" s="7" t="str">
        <x:v>Synthetic normal variation</x:v>
      </x:c>
      <x:c r="G152" s="12" t="n">
        <x:f>1000/D152</x:f>
        <x:v>10</x:v>
      </x:c>
    </x:row>
    <x:row r="153" ht="23" customHeight="1">
      <x:c r="A153" s="8" t="n">
        <x:v>9</x:v>
      </x:c>
      <x:c r="B153" s="8" t="n">
        <x:v>29</x:v>
      </x:c>
      <x:c r="C153" s="7" t="str">
        <x:v>Computer &lt;-&gt; ESP32 AP</x:v>
      </x:c>
      <x:c r="D153" s="8" t="n">
        <x:v>100</x:v>
      </x:c>
      <x:c r="E153" s="7" t="n">
        <x:v>17.5</x:v>
      </x:c>
      <x:c r="F153" s="7" t="str">
        <x:v>Synthetic normal variation</x:v>
      </x:c>
      <x:c r="G153" s="12" t="n">
        <x:f>1000/D153</x:f>
        <x:v>10</x:v>
      </x:c>
    </x:row>
    <x:row r="154" ht="23" customHeight="1">
      <x:c r="A154" s="8" t="n">
        <x:v>9</x:v>
      </x:c>
      <x:c r="B154" s="8" t="n">
        <x:v>30</x:v>
      </x:c>
      <x:c r="C154" s="7" t="str">
        <x:v>Computer &lt;-&gt; ESP32 AP</x:v>
      </x:c>
      <x:c r="D154" s="8" t="n">
        <x:v>100</x:v>
      </x:c>
      <x:c r="E154" s="7" t="n">
        <x:v>14.4</x:v>
      </x:c>
      <x:c r="F154" s="7" t="str">
        <x:v>Synthetic normal variation</x:v>
      </x:c>
      <x:c r="G154" s="12" t="n">
        <x:f>1000/D154</x:f>
        <x:v>10</x:v>
      </x:c>
    </x:row>
    <x:row r="155" ht="23" customHeight="1">
      <x:c r="A155" s="1"/>
      <x:c r="B155" s="1"/>
      <x:c r="C155" s="1"/>
      <x:c r="D155" s="1"/>
      <x:c r="E155" s="1"/>
      <x:c r="F155" s="1"/>
      <x:c r="G155" s="1"/>
    </x:row>
  </x:sheetData>
  <x:pageMargins left="0.7" right="0.7" top="0.75" bottom="0.75" header="0.3" footer="0.3"/>
  <x:tableParts count="1">
    <x:tablePart xmlns:r="http://schemas.openxmlformats.org/officeDocument/2006/relationships" r:id="R9e197c327bdb4f2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9" hidden="0" customWidth="1"/>
    <x:col min="4" max="4" width="19" hidden="0" customWidth="1"/>
    <x:col min="5" max="5" width="16" hidden="0" customWidth="1"/>
    <x:col min="6" max="6" width="15" hidden="0" customWidth="1"/>
    <x:col min="7" max="7" width="15" hidden="0" customWidth="1"/>
    <x:col min="8" max="8" width="15" hidden="0" customWidth="1"/>
    <x:col min="9" max="9" width="18" hidden="0" customWidth="1"/>
    <x:col min="10" max="10" width="18" hidden="0" customWidth="1"/>
    <x:col min="11" max="11" width="20" hidden="0" customWidth="1"/>
  </x:cols>
  <x:sheetData>
    <x:row r="1" ht="23" customHeight="1">
      <x:c r="A1" s="2" t="str">
        <x:v>Mounting position accuracy - synthetic trials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3" customHeight="1">
      <x:c r="A2" s="3" t="str">
        <x:v>SYNTHETIC: mounting distances are not player-to-sensor range. Accuracy = correct / all attempts.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8" customHeight="1">
      <x:c r="A4" s="6" t="str">
        <x:v>Week</x:v>
      </x:c>
      <x:c r="B4" s="6" t="str">
        <x:v>Run</x:v>
      </x:c>
      <x:c r="C4" s="6" t="str">
        <x:v>Left mount (cm)</x:v>
      </x:c>
      <x:c r="D4" s="6" t="str">
        <x:v>Right mount (cm)</x:v>
      </x:c>
      <x:c r="E4" s="6" t="str">
        <x:v>Attempts</x:v>
      </x:c>
      <x:c r="F4" s="6" t="str">
        <x:v>Correct</x:v>
      </x:c>
      <x:c r="G4" s="6" t="str">
        <x:v>Wrong hole</x:v>
      </x:c>
      <x:c r="H4" s="6" t="str">
        <x:v>Missed</x:v>
      </x:c>
      <x:c r="I4" s="6" t="str">
        <x:v>Accuracy</x:v>
      </x:c>
      <x:c r="J4" s="6" t="str">
        <x:v>Holes tested</x:v>
      </x:c>
      <x:c r="K4" s="6" t="str">
        <x:v>Holes detected</x:v>
      </x:c>
    </x:row>
    <x:row r="5" ht="23" customHeight="1">
      <x:c r="A5" s="8" t="n">
        <x:v>5</x:v>
      </x:c>
      <x:c r="B5" s="8" t="n">
        <x:v>1</x:v>
      </x:c>
      <x:c r="C5" s="8" t="n">
        <x:v>30</x:v>
      </x:c>
      <x:c r="D5" s="8" t="n">
        <x:v>30</x:v>
      </x:c>
      <x:c r="E5" s="8" t="n">
        <x:v>100</x:v>
      </x:c>
      <x:c r="F5" s="8" t="n">
        <x:v>76</x:v>
      </x:c>
      <x:c r="G5" s="8" t="n">
        <x:v>11</x:v>
      </x:c>
      <x:c r="H5" s="8" t="n">
        <x:v>13</x:v>
      </x:c>
      <x:c r="I5" s="9" t="n">
        <x:f>F5/E5</x:f>
        <x:v>0.76</x:v>
      </x:c>
      <x:c r="J5" s="8" t="n">
        <x:v>6</x:v>
      </x:c>
      <x:c r="K5" s="8" t="n">
        <x:v>6</x:v>
      </x:c>
    </x:row>
    <x:row r="6" ht="23" customHeight="1">
      <x:c r="A6" s="8" t="n">
        <x:v>5</x:v>
      </x:c>
      <x:c r="B6" s="8" t="n">
        <x:v>2</x:v>
      </x:c>
      <x:c r="C6" s="8" t="n">
        <x:v>30</x:v>
      </x:c>
      <x:c r="D6" s="8" t="n">
        <x:v>30</x:v>
      </x:c>
      <x:c r="E6" s="8" t="n">
        <x:v>100</x:v>
      </x:c>
      <x:c r="F6" s="8" t="n">
        <x:v>80</x:v>
      </x:c>
      <x:c r="G6" s="8" t="n">
        <x:v>11</x:v>
      </x:c>
      <x:c r="H6" s="8" t="n">
        <x:v>9</x:v>
      </x:c>
      <x:c r="I6" s="9" t="n">
        <x:f>F6/E6</x:f>
        <x:v>0.8</x:v>
      </x:c>
      <x:c r="J6" s="8" t="n">
        <x:v>6</x:v>
      </x:c>
      <x:c r="K6" s="8" t="n">
        <x:v>6</x:v>
      </x:c>
    </x:row>
    <x:row r="7" ht="23" customHeight="1">
      <x:c r="A7" s="8" t="n">
        <x:v>5</x:v>
      </x:c>
      <x:c r="B7" s="8" t="n">
        <x:v>3</x:v>
      </x:c>
      <x:c r="C7" s="8" t="n">
        <x:v>30</x:v>
      </x:c>
      <x:c r="D7" s="8" t="n">
        <x:v>30</x:v>
      </x:c>
      <x:c r="E7" s="8" t="n">
        <x:v>100</x:v>
      </x:c>
      <x:c r="F7" s="8" t="n">
        <x:v>79</x:v>
      </x:c>
      <x:c r="G7" s="8" t="n">
        <x:v>12</x:v>
      </x:c>
      <x:c r="H7" s="8" t="n">
        <x:v>9</x:v>
      </x:c>
      <x:c r="I7" s="9" t="n">
        <x:f>F7/E7</x:f>
        <x:v>0.79</x:v>
      </x:c>
      <x:c r="J7" s="8" t="n">
        <x:v>6</x:v>
      </x:c>
      <x:c r="K7" s="8" t="n">
        <x:v>6</x:v>
      </x:c>
    </x:row>
    <x:row r="8" ht="23" customHeight="1">
      <x:c r="A8" s="8" t="n">
        <x:v>5</x:v>
      </x:c>
      <x:c r="B8" s="8" t="n">
        <x:v>4</x:v>
      </x:c>
      <x:c r="C8" s="8" t="n">
        <x:v>30</x:v>
      </x:c>
      <x:c r="D8" s="8" t="n">
        <x:v>30</x:v>
      </x:c>
      <x:c r="E8" s="8" t="n">
        <x:v>100</x:v>
      </x:c>
      <x:c r="F8" s="8" t="n">
        <x:v>86</x:v>
      </x:c>
      <x:c r="G8" s="8" t="n">
        <x:v>7</x:v>
      </x:c>
      <x:c r="H8" s="8" t="n">
        <x:v>7</x:v>
      </x:c>
      <x:c r="I8" s="9" t="n">
        <x:f>F8/E8</x:f>
        <x:v>0.86</x:v>
      </x:c>
      <x:c r="J8" s="8" t="n">
        <x:v>6</x:v>
      </x:c>
      <x:c r="K8" s="8" t="n">
        <x:v>6</x:v>
      </x:c>
    </x:row>
    <x:row r="9" ht="23" customHeight="1">
      <x:c r="A9" s="8" t="n">
        <x:v>5</x:v>
      </x:c>
      <x:c r="B9" s="8" t="n">
        <x:v>5</x:v>
      </x:c>
      <x:c r="C9" s="8" t="n">
        <x:v>30</x:v>
      </x:c>
      <x:c r="D9" s="8" t="n">
        <x:v>30</x:v>
      </x:c>
      <x:c r="E9" s="8" t="n">
        <x:v>100</x:v>
      </x:c>
      <x:c r="F9" s="8" t="n">
        <x:v>82</x:v>
      </x:c>
      <x:c r="G9" s="8" t="n">
        <x:v>9</x:v>
      </x:c>
      <x:c r="H9" s="8" t="n">
        <x:v>9</x:v>
      </x:c>
      <x:c r="I9" s="9" t="n">
        <x:f>F9/E9</x:f>
        <x:v>0.82</x:v>
      </x:c>
      <x:c r="J9" s="8" t="n">
        <x:v>6</x:v>
      </x:c>
      <x:c r="K9" s="8" t="n">
        <x:v>6</x:v>
      </x:c>
    </x:row>
    <x:row r="10" ht="23" customHeight="1">
      <x:c r="A10" s="8" t="n">
        <x:v>5</x:v>
      </x:c>
      <x:c r="B10" s="8" t="n">
        <x:v>1</x:v>
      </x:c>
      <x:c r="C10" s="8" t="n">
        <x:v>35</x:v>
      </x:c>
      <x:c r="D10" s="8" t="n">
        <x:v>35</x:v>
      </x:c>
      <x:c r="E10" s="8" t="n">
        <x:v>100</x:v>
      </x:c>
      <x:c r="F10" s="8" t="n">
        <x:v>76</x:v>
      </x:c>
      <x:c r="G10" s="8" t="n">
        <x:v>10</x:v>
      </x:c>
      <x:c r="H10" s="8" t="n">
        <x:v>14</x:v>
      </x:c>
      <x:c r="I10" s="9" t="n">
        <x:f>F10/E10</x:f>
        <x:v>0.76</x:v>
      </x:c>
      <x:c r="J10" s="8" t="n">
        <x:v>6</x:v>
      </x:c>
      <x:c r="K10" s="8" t="n">
        <x:v>6</x:v>
      </x:c>
    </x:row>
    <x:row r="11" ht="23" customHeight="1">
      <x:c r="A11" s="8" t="n">
        <x:v>5</x:v>
      </x:c>
      <x:c r="B11" s="8" t="n">
        <x:v>2</x:v>
      </x:c>
      <x:c r="C11" s="8" t="n">
        <x:v>35</x:v>
      </x:c>
      <x:c r="D11" s="8" t="n">
        <x:v>35</x:v>
      </x:c>
      <x:c r="E11" s="8" t="n">
        <x:v>100</x:v>
      </x:c>
      <x:c r="F11" s="8" t="n">
        <x:v>78</x:v>
      </x:c>
      <x:c r="G11" s="8" t="n">
        <x:v>12</x:v>
      </x:c>
      <x:c r="H11" s="8" t="n">
        <x:v>10</x:v>
      </x:c>
      <x:c r="I11" s="9" t="n">
        <x:f>F11/E11</x:f>
        <x:v>0.78</x:v>
      </x:c>
      <x:c r="J11" s="8" t="n">
        <x:v>6</x:v>
      </x:c>
      <x:c r="K11" s="8" t="n">
        <x:v>6</x:v>
      </x:c>
    </x:row>
    <x:row r="12" ht="23" customHeight="1">
      <x:c r="A12" s="8" t="n">
        <x:v>5</x:v>
      </x:c>
      <x:c r="B12" s="8" t="n">
        <x:v>3</x:v>
      </x:c>
      <x:c r="C12" s="8" t="n">
        <x:v>35</x:v>
      </x:c>
      <x:c r="D12" s="8" t="n">
        <x:v>35</x:v>
      </x:c>
      <x:c r="E12" s="8" t="n">
        <x:v>100</x:v>
      </x:c>
      <x:c r="F12" s="8" t="n">
        <x:v>81</x:v>
      </x:c>
      <x:c r="G12" s="8" t="n">
        <x:v>10</x:v>
      </x:c>
      <x:c r="H12" s="8" t="n">
        <x:v>9</x:v>
      </x:c>
      <x:c r="I12" s="9" t="n">
        <x:f>F12/E12</x:f>
        <x:v>0.81</x:v>
      </x:c>
      <x:c r="J12" s="8" t="n">
        <x:v>6</x:v>
      </x:c>
      <x:c r="K12" s="8" t="n">
        <x:v>6</x:v>
      </x:c>
    </x:row>
    <x:row r="13" ht="23" customHeight="1">
      <x:c r="A13" s="8" t="n">
        <x:v>5</x:v>
      </x:c>
      <x:c r="B13" s="8" t="n">
        <x:v>4</x:v>
      </x:c>
      <x:c r="C13" s="8" t="n">
        <x:v>35</x:v>
      </x:c>
      <x:c r="D13" s="8" t="n">
        <x:v>35</x:v>
      </x:c>
      <x:c r="E13" s="8" t="n">
        <x:v>100</x:v>
      </x:c>
      <x:c r="F13" s="8" t="n">
        <x:v>78</x:v>
      </x:c>
      <x:c r="G13" s="8" t="n">
        <x:v>12</x:v>
      </x:c>
      <x:c r="H13" s="8" t="n">
        <x:v>10</x:v>
      </x:c>
      <x:c r="I13" s="9" t="n">
        <x:f>F13/E13</x:f>
        <x:v>0.78</x:v>
      </x:c>
      <x:c r="J13" s="8" t="n">
        <x:v>6</x:v>
      </x:c>
      <x:c r="K13" s="8" t="n">
        <x:v>6</x:v>
      </x:c>
    </x:row>
    <x:row r="14" ht="23" customHeight="1">
      <x:c r="A14" s="8" t="n">
        <x:v>5</x:v>
      </x:c>
      <x:c r="B14" s="8" t="n">
        <x:v>5</x:v>
      </x:c>
      <x:c r="C14" s="8" t="n">
        <x:v>35</x:v>
      </x:c>
      <x:c r="D14" s="8" t="n">
        <x:v>35</x:v>
      </x:c>
      <x:c r="E14" s="8" t="n">
        <x:v>100</x:v>
      </x:c>
      <x:c r="F14" s="8" t="n">
        <x:v>75</x:v>
      </x:c>
      <x:c r="G14" s="8" t="n">
        <x:v>16</x:v>
      </x:c>
      <x:c r="H14" s="8" t="n">
        <x:v>9</x:v>
      </x:c>
      <x:c r="I14" s="9" t="n">
        <x:f>F14/E14</x:f>
        <x:v>0.75</x:v>
      </x:c>
      <x:c r="J14" s="8" t="n">
        <x:v>6</x:v>
      </x:c>
      <x:c r="K14" s="8" t="n">
        <x:v>6</x:v>
      </x:c>
    </x:row>
    <x:row r="15" ht="23" customHeight="1">
      <x:c r="A15" s="8" t="n">
        <x:v>6</x:v>
      </x:c>
      <x:c r="B15" s="8" t="n">
        <x:v>1</x:v>
      </x:c>
      <x:c r="C15" s="8" t="n">
        <x:v>30</x:v>
      </x:c>
      <x:c r="D15" s="8" t="n">
        <x:v>30</x:v>
      </x:c>
      <x:c r="E15" s="8" t="n">
        <x:v>100</x:v>
      </x:c>
      <x:c r="F15" s="8" t="n">
        <x:v>86</x:v>
      </x:c>
      <x:c r="G15" s="8" t="n">
        <x:v>6</x:v>
      </x:c>
      <x:c r="H15" s="8" t="n">
        <x:v>8</x:v>
      </x:c>
      <x:c r="I15" s="9" t="n">
        <x:f>F15/E15</x:f>
        <x:v>0.86</x:v>
      </x:c>
      <x:c r="J15" s="8" t="n">
        <x:v>6</x:v>
      </x:c>
      <x:c r="K15" s="8" t="n">
        <x:v>6</x:v>
      </x:c>
    </x:row>
    <x:row r="16" ht="23" customHeight="1">
      <x:c r="A16" s="8" t="n">
        <x:v>6</x:v>
      </x:c>
      <x:c r="B16" s="8" t="n">
        <x:v>2</x:v>
      </x:c>
      <x:c r="C16" s="8" t="n">
        <x:v>30</x:v>
      </x:c>
      <x:c r="D16" s="8" t="n">
        <x:v>30</x:v>
      </x:c>
      <x:c r="E16" s="8" t="n">
        <x:v>100</x:v>
      </x:c>
      <x:c r="F16" s="8" t="n">
        <x:v>87</x:v>
      </x:c>
      <x:c r="G16" s="8" t="n">
        <x:v>7</x:v>
      </x:c>
      <x:c r="H16" s="8" t="n">
        <x:v>6</x:v>
      </x:c>
      <x:c r="I16" s="9" t="n">
        <x:f>F16/E16</x:f>
        <x:v>0.87</x:v>
      </x:c>
      <x:c r="J16" s="8" t="n">
        <x:v>6</x:v>
      </x:c>
      <x:c r="K16" s="8" t="n">
        <x:v>6</x:v>
      </x:c>
    </x:row>
    <x:row r="17" ht="23" customHeight="1">
      <x:c r="A17" s="8" t="n">
        <x:v>6</x:v>
      </x:c>
      <x:c r="B17" s="8" t="n">
        <x:v>3</x:v>
      </x:c>
      <x:c r="C17" s="8" t="n">
        <x:v>30</x:v>
      </x:c>
      <x:c r="D17" s="8" t="n">
        <x:v>30</x:v>
      </x:c>
      <x:c r="E17" s="8" t="n">
        <x:v>100</x:v>
      </x:c>
      <x:c r="F17" s="8" t="n">
        <x:v>93</x:v>
      </x:c>
      <x:c r="G17" s="8" t="n">
        <x:v>4</x:v>
      </x:c>
      <x:c r="H17" s="8" t="n">
        <x:v>3</x:v>
      </x:c>
      <x:c r="I17" s="9" t="n">
        <x:f>F17/E17</x:f>
        <x:v>0.93</x:v>
      </x:c>
      <x:c r="J17" s="8" t="n">
        <x:v>6</x:v>
      </x:c>
      <x:c r="K17" s="8" t="n">
        <x:v>6</x:v>
      </x:c>
    </x:row>
    <x:row r="18" ht="23" customHeight="1">
      <x:c r="A18" s="8" t="n">
        <x:v>6</x:v>
      </x:c>
      <x:c r="B18" s="8" t="n">
        <x:v>4</x:v>
      </x:c>
      <x:c r="C18" s="8" t="n">
        <x:v>30</x:v>
      </x:c>
      <x:c r="D18" s="8" t="n">
        <x:v>30</x:v>
      </x:c>
      <x:c r="E18" s="8" t="n">
        <x:v>100</x:v>
      </x:c>
      <x:c r="F18" s="8" t="n">
        <x:v>90</x:v>
      </x:c>
      <x:c r="G18" s="8" t="n">
        <x:v>6</x:v>
      </x:c>
      <x:c r="H18" s="8" t="n">
        <x:v>4</x:v>
      </x:c>
      <x:c r="I18" s="9" t="n">
        <x:f>F18/E18</x:f>
        <x:v>0.9</x:v>
      </x:c>
      <x:c r="J18" s="8" t="n">
        <x:v>6</x:v>
      </x:c>
      <x:c r="K18" s="8" t="n">
        <x:v>6</x:v>
      </x:c>
    </x:row>
    <x:row r="19" ht="23" customHeight="1">
      <x:c r="A19" s="8" t="n">
        <x:v>6</x:v>
      </x:c>
      <x:c r="B19" s="8" t="n">
        <x:v>5</x:v>
      </x:c>
      <x:c r="C19" s="8" t="n">
        <x:v>30</x:v>
      </x:c>
      <x:c r="D19" s="8" t="n">
        <x:v>30</x:v>
      </x:c>
      <x:c r="E19" s="8" t="n">
        <x:v>100</x:v>
      </x:c>
      <x:c r="F19" s="8" t="n">
        <x:v>81</x:v>
      </x:c>
      <x:c r="G19" s="8" t="n">
        <x:v>10</x:v>
      </x:c>
      <x:c r="H19" s="8" t="n">
        <x:v>9</x:v>
      </x:c>
      <x:c r="I19" s="9" t="n">
        <x:f>F19/E19</x:f>
        <x:v>0.81</x:v>
      </x:c>
      <x:c r="J19" s="8" t="n">
        <x:v>6</x:v>
      </x:c>
      <x:c r="K19" s="8" t="n">
        <x:v>6</x:v>
      </x:c>
    </x:row>
    <x:row r="20" ht="23" customHeight="1">
      <x:c r="A20" s="8" t="n">
        <x:v>6</x:v>
      </x:c>
      <x:c r="B20" s="8" t="n">
        <x:v>1</x:v>
      </x:c>
      <x:c r="C20" s="8" t="n">
        <x:v>35</x:v>
      </x:c>
      <x:c r="D20" s="8" t="n">
        <x:v>35</x:v>
      </x:c>
      <x:c r="E20" s="8" t="n">
        <x:v>100</x:v>
      </x:c>
      <x:c r="F20" s="8" t="n">
        <x:v>79</x:v>
      </x:c>
      <x:c r="G20" s="8" t="n">
        <x:v>10</x:v>
      </x:c>
      <x:c r="H20" s="8" t="n">
        <x:v>11</x:v>
      </x:c>
      <x:c r="I20" s="9" t="n">
        <x:f>F20/E20</x:f>
        <x:v>0.79</x:v>
      </x:c>
      <x:c r="J20" s="8" t="n">
        <x:v>6</x:v>
      </x:c>
      <x:c r="K20" s="8" t="n">
        <x:v>6</x:v>
      </x:c>
    </x:row>
    <x:row r="21" ht="23" customHeight="1">
      <x:c r="A21" s="8" t="n">
        <x:v>6</x:v>
      </x:c>
      <x:c r="B21" s="8" t="n">
        <x:v>2</x:v>
      </x:c>
      <x:c r="C21" s="8" t="n">
        <x:v>35</x:v>
      </x:c>
      <x:c r="D21" s="8" t="n">
        <x:v>35</x:v>
      </x:c>
      <x:c r="E21" s="8" t="n">
        <x:v>100</x:v>
      </x:c>
      <x:c r="F21" s="8" t="n">
        <x:v>88</x:v>
      </x:c>
      <x:c r="G21" s="8" t="n">
        <x:v>6</x:v>
      </x:c>
      <x:c r="H21" s="8" t="n">
        <x:v>6</x:v>
      </x:c>
      <x:c r="I21" s="9" t="n">
        <x:f>F21/E21</x:f>
        <x:v>0.88</x:v>
      </x:c>
      <x:c r="J21" s="8" t="n">
        <x:v>6</x:v>
      </x:c>
      <x:c r="K21" s="8" t="n">
        <x:v>6</x:v>
      </x:c>
    </x:row>
    <x:row r="22" ht="23" customHeight="1">
      <x:c r="A22" s="8" t="n">
        <x:v>6</x:v>
      </x:c>
      <x:c r="B22" s="8" t="n">
        <x:v>3</x:v>
      </x:c>
      <x:c r="C22" s="8" t="n">
        <x:v>35</x:v>
      </x:c>
      <x:c r="D22" s="8" t="n">
        <x:v>35</x:v>
      </x:c>
      <x:c r="E22" s="8" t="n">
        <x:v>100</x:v>
      </x:c>
      <x:c r="F22" s="8" t="n">
        <x:v>74</x:v>
      </x:c>
      <x:c r="G22" s="8" t="n">
        <x:v>15</x:v>
      </x:c>
      <x:c r="H22" s="8" t="n">
        <x:v>11</x:v>
      </x:c>
      <x:c r="I22" s="9" t="n">
        <x:f>F22/E22</x:f>
        <x:v>0.74</x:v>
      </x:c>
      <x:c r="J22" s="8" t="n">
        <x:v>6</x:v>
      </x:c>
      <x:c r="K22" s="8" t="n">
        <x:v>6</x:v>
      </x:c>
    </x:row>
    <x:row r="23" ht="23" customHeight="1">
      <x:c r="A23" s="8" t="n">
        <x:v>6</x:v>
      </x:c>
      <x:c r="B23" s="8" t="n">
        <x:v>4</x:v>
      </x:c>
      <x:c r="C23" s="8" t="n">
        <x:v>35</x:v>
      </x:c>
      <x:c r="D23" s="8" t="n">
        <x:v>35</x:v>
      </x:c>
      <x:c r="E23" s="8" t="n">
        <x:v>100</x:v>
      </x:c>
      <x:c r="F23" s="8" t="n">
        <x:v>79</x:v>
      </x:c>
      <x:c r="G23" s="8" t="n">
        <x:v>11</x:v>
      </x:c>
      <x:c r="H23" s="8" t="n">
        <x:v>10</x:v>
      </x:c>
      <x:c r="I23" s="9" t="n">
        <x:f>F23/E23</x:f>
        <x:v>0.79</x:v>
      </x:c>
      <x:c r="J23" s="8" t="n">
        <x:v>6</x:v>
      </x:c>
      <x:c r="K23" s="8" t="n">
        <x:v>6</x:v>
      </x:c>
    </x:row>
    <x:row r="24" ht="23" customHeight="1">
      <x:c r="A24" s="8" t="n">
        <x:v>6</x:v>
      </x:c>
      <x:c r="B24" s="8" t="n">
        <x:v>5</x:v>
      </x:c>
      <x:c r="C24" s="8" t="n">
        <x:v>35</x:v>
      </x:c>
      <x:c r="D24" s="8" t="n">
        <x:v>35</x:v>
      </x:c>
      <x:c r="E24" s="8" t="n">
        <x:v>100</x:v>
      </x:c>
      <x:c r="F24" s="8" t="n">
        <x:v>78</x:v>
      </x:c>
      <x:c r="G24" s="8" t="n">
        <x:v>12</x:v>
      </x:c>
      <x:c r="H24" s="8" t="n">
        <x:v>10</x:v>
      </x:c>
      <x:c r="I24" s="9" t="n">
        <x:f>F24/E24</x:f>
        <x:v>0.78</x:v>
      </x:c>
      <x:c r="J24" s="8" t="n">
        <x:v>6</x:v>
      </x:c>
      <x:c r="K24" s="8" t="n">
        <x:v>6</x:v>
      </x:c>
    </x:row>
    <x:row r="25" ht="23" customHeight="1">
      <x:c r="A25" s="8" t="n">
        <x:v>7</x:v>
      </x:c>
      <x:c r="B25" s="8" t="n">
        <x:v>1</x:v>
      </x:c>
      <x:c r="C25" s="8" t="n">
        <x:v>30</x:v>
      </x:c>
      <x:c r="D25" s="8" t="n">
        <x:v>30</x:v>
      </x:c>
      <x:c r="E25" s="8" t="n">
        <x:v>100</x:v>
      </x:c>
      <x:c r="F25" s="8" t="n">
        <x:v>94</x:v>
      </x:c>
      <x:c r="G25" s="8" t="n">
        <x:v>3</x:v>
      </x:c>
      <x:c r="H25" s="8" t="n">
        <x:v>3</x:v>
      </x:c>
      <x:c r="I25" s="9" t="n">
        <x:f>F25/E25</x:f>
        <x:v>0.94</x:v>
      </x:c>
      <x:c r="J25" s="8" t="n">
        <x:v>6</x:v>
      </x:c>
      <x:c r="K25" s="8" t="n">
        <x:v>6</x:v>
      </x:c>
    </x:row>
    <x:row r="26" ht="23" customHeight="1">
      <x:c r="A26" s="8" t="n">
        <x:v>7</x:v>
      </x:c>
      <x:c r="B26" s="8" t="n">
        <x:v>2</x:v>
      </x:c>
      <x:c r="C26" s="8" t="n">
        <x:v>30</x:v>
      </x:c>
      <x:c r="D26" s="8" t="n">
        <x:v>30</x:v>
      </x:c>
      <x:c r="E26" s="8" t="n">
        <x:v>100</x:v>
      </x:c>
      <x:c r="F26" s="8" t="n">
        <x:v>91</x:v>
      </x:c>
      <x:c r="G26" s="8" t="n">
        <x:v>4</x:v>
      </x:c>
      <x:c r="H26" s="8" t="n">
        <x:v>5</x:v>
      </x:c>
      <x:c r="I26" s="9" t="n">
        <x:f>F26/E26</x:f>
        <x:v>0.91</x:v>
      </x:c>
      <x:c r="J26" s="8" t="n">
        <x:v>6</x:v>
      </x:c>
      <x:c r="K26" s="8" t="n">
        <x:v>6</x:v>
      </x:c>
    </x:row>
    <x:row r="27" ht="23" customHeight="1">
      <x:c r="A27" s="8" t="n">
        <x:v>7</x:v>
      </x:c>
      <x:c r="B27" s="8" t="n">
        <x:v>3</x:v>
      </x:c>
      <x:c r="C27" s="8" t="n">
        <x:v>30</x:v>
      </x:c>
      <x:c r="D27" s="8" t="n">
        <x:v>30</x:v>
      </x:c>
      <x:c r="E27" s="8" t="n">
        <x:v>100</x:v>
      </x:c>
      <x:c r="F27" s="8" t="n">
        <x:v>93</x:v>
      </x:c>
      <x:c r="G27" s="8" t="n">
        <x:v>3</x:v>
      </x:c>
      <x:c r="H27" s="8" t="n">
        <x:v>4</x:v>
      </x:c>
      <x:c r="I27" s="9" t="n">
        <x:f>F27/E27</x:f>
        <x:v>0.93</x:v>
      </x:c>
      <x:c r="J27" s="8" t="n">
        <x:v>6</x:v>
      </x:c>
      <x:c r="K27" s="8" t="n">
        <x:v>6</x:v>
      </x:c>
    </x:row>
    <x:row r="28" ht="23" customHeight="1">
      <x:c r="A28" s="8" t="n">
        <x:v>7</x:v>
      </x:c>
      <x:c r="B28" s="8" t="n">
        <x:v>4</x:v>
      </x:c>
      <x:c r="C28" s="8" t="n">
        <x:v>30</x:v>
      </x:c>
      <x:c r="D28" s="8" t="n">
        <x:v>30</x:v>
      </x:c>
      <x:c r="E28" s="8" t="n">
        <x:v>100</x:v>
      </x:c>
      <x:c r="F28" s="8" t="n">
        <x:v>93</x:v>
      </x:c>
      <x:c r="G28" s="8" t="n">
        <x:v>4</x:v>
      </x:c>
      <x:c r="H28" s="8" t="n">
        <x:v>3</x:v>
      </x:c>
      <x:c r="I28" s="9" t="n">
        <x:f>F28/E28</x:f>
        <x:v>0.93</x:v>
      </x:c>
      <x:c r="J28" s="8" t="n">
        <x:v>6</x:v>
      </x:c>
      <x:c r="K28" s="8" t="n">
        <x:v>6</x:v>
      </x:c>
    </x:row>
    <x:row r="29" ht="23" customHeight="1">
      <x:c r="A29" s="8" t="n">
        <x:v>7</x:v>
      </x:c>
      <x:c r="B29" s="8" t="n">
        <x:v>5</x:v>
      </x:c>
      <x:c r="C29" s="8" t="n">
        <x:v>30</x:v>
      </x:c>
      <x:c r="D29" s="8" t="n">
        <x:v>30</x:v>
      </x:c>
      <x:c r="E29" s="8" t="n">
        <x:v>100</x:v>
      </x:c>
      <x:c r="F29" s="8" t="n">
        <x:v>90</x:v>
      </x:c>
      <x:c r="G29" s="8" t="n">
        <x:v>4</x:v>
      </x:c>
      <x:c r="H29" s="8" t="n">
        <x:v>6</x:v>
      </x:c>
      <x:c r="I29" s="9" t="n">
        <x:f>F29/E29</x:f>
        <x:v>0.9</x:v>
      </x:c>
      <x:c r="J29" s="8" t="n">
        <x:v>6</x:v>
      </x:c>
      <x:c r="K29" s="8" t="n">
        <x:v>6</x:v>
      </x:c>
    </x:row>
    <x:row r="30" ht="23" customHeight="1">
      <x:c r="A30" s="8" t="n">
        <x:v>7</x:v>
      </x:c>
      <x:c r="B30" s="8" t="n">
        <x:v>1</x:v>
      </x:c>
      <x:c r="C30" s="8" t="n">
        <x:v>35</x:v>
      </x:c>
      <x:c r="D30" s="8" t="n">
        <x:v>35</x:v>
      </x:c>
      <x:c r="E30" s="8" t="n">
        <x:v>100</x:v>
      </x:c>
      <x:c r="F30" s="8" t="n">
        <x:v>88</x:v>
      </x:c>
      <x:c r="G30" s="8" t="n">
        <x:v>5</x:v>
      </x:c>
      <x:c r="H30" s="8" t="n">
        <x:v>7</x:v>
      </x:c>
      <x:c r="I30" s="9" t="n">
        <x:f>F30/E30</x:f>
        <x:v>0.88</x:v>
      </x:c>
      <x:c r="J30" s="8" t="n">
        <x:v>6</x:v>
      </x:c>
      <x:c r="K30" s="8" t="n">
        <x:v>6</x:v>
      </x:c>
    </x:row>
    <x:row r="31" ht="23" customHeight="1">
      <x:c r="A31" s="8" t="n">
        <x:v>7</x:v>
      </x:c>
      <x:c r="B31" s="8" t="n">
        <x:v>2</x:v>
      </x:c>
      <x:c r="C31" s="8" t="n">
        <x:v>35</x:v>
      </x:c>
      <x:c r="D31" s="8" t="n">
        <x:v>35</x:v>
      </x:c>
      <x:c r="E31" s="8" t="n">
        <x:v>100</x:v>
      </x:c>
      <x:c r="F31" s="8" t="n">
        <x:v>79</x:v>
      </x:c>
      <x:c r="G31" s="8" t="n">
        <x:v>11</x:v>
      </x:c>
      <x:c r="H31" s="8" t="n">
        <x:v>10</x:v>
      </x:c>
      <x:c r="I31" s="9" t="n">
        <x:f>F31/E31</x:f>
        <x:v>0.79</x:v>
      </x:c>
      <x:c r="J31" s="8" t="n">
        <x:v>6</x:v>
      </x:c>
      <x:c r="K31" s="8" t="n">
        <x:v>6</x:v>
      </x:c>
    </x:row>
    <x:row r="32" ht="23" customHeight="1">
      <x:c r="A32" s="8" t="n">
        <x:v>7</x:v>
      </x:c>
      <x:c r="B32" s="8" t="n">
        <x:v>3</x:v>
      </x:c>
      <x:c r="C32" s="8" t="n">
        <x:v>35</x:v>
      </x:c>
      <x:c r="D32" s="8" t="n">
        <x:v>35</x:v>
      </x:c>
      <x:c r="E32" s="8" t="n">
        <x:v>100</x:v>
      </x:c>
      <x:c r="F32" s="8" t="n">
        <x:v>88</x:v>
      </x:c>
      <x:c r="G32" s="8" t="n">
        <x:v>6</x:v>
      </x:c>
      <x:c r="H32" s="8" t="n">
        <x:v>6</x:v>
      </x:c>
      <x:c r="I32" s="9" t="n">
        <x:f>F32/E32</x:f>
        <x:v>0.88</x:v>
      </x:c>
      <x:c r="J32" s="8" t="n">
        <x:v>6</x:v>
      </x:c>
      <x:c r="K32" s="8" t="n">
        <x:v>6</x:v>
      </x:c>
    </x:row>
    <x:row r="33" ht="23" customHeight="1">
      <x:c r="A33" s="8" t="n">
        <x:v>7</x:v>
      </x:c>
      <x:c r="B33" s="8" t="n">
        <x:v>4</x:v>
      </x:c>
      <x:c r="C33" s="8" t="n">
        <x:v>35</x:v>
      </x:c>
      <x:c r="D33" s="8" t="n">
        <x:v>35</x:v>
      </x:c>
      <x:c r="E33" s="8" t="n">
        <x:v>100</x:v>
      </x:c>
      <x:c r="F33" s="8" t="n">
        <x:v>91</x:v>
      </x:c>
      <x:c r="G33" s="8" t="n">
        <x:v>4</x:v>
      </x:c>
      <x:c r="H33" s="8" t="n">
        <x:v>5</x:v>
      </x:c>
      <x:c r="I33" s="9" t="n">
        <x:f>F33/E33</x:f>
        <x:v>0.91</x:v>
      </x:c>
      <x:c r="J33" s="8" t="n">
        <x:v>6</x:v>
      </x:c>
      <x:c r="K33" s="8" t="n">
        <x:v>6</x:v>
      </x:c>
    </x:row>
    <x:row r="34" ht="23" customHeight="1">
      <x:c r="A34" s="8" t="n">
        <x:v>7</x:v>
      </x:c>
      <x:c r="B34" s="8" t="n">
        <x:v>5</x:v>
      </x:c>
      <x:c r="C34" s="8" t="n">
        <x:v>35</x:v>
      </x:c>
      <x:c r="D34" s="8" t="n">
        <x:v>35</x:v>
      </x:c>
      <x:c r="E34" s="8" t="n">
        <x:v>100</x:v>
      </x:c>
      <x:c r="F34" s="8" t="n">
        <x:v>81</x:v>
      </x:c>
      <x:c r="G34" s="8" t="n">
        <x:v>8</x:v>
      </x:c>
      <x:c r="H34" s="8" t="n">
        <x:v>11</x:v>
      </x:c>
      <x:c r="I34" s="9" t="n">
        <x:f>F34/E34</x:f>
        <x:v>0.81</x:v>
      </x:c>
      <x:c r="J34" s="8" t="n">
        <x:v>6</x:v>
      </x:c>
      <x:c r="K34" s="8" t="n">
        <x:v>6</x:v>
      </x:c>
    </x:row>
    <x:row r="35" ht="23" customHeight="1">
      <x:c r="A35" s="8" t="n">
        <x:v>8</x:v>
      </x:c>
      <x:c r="B35" s="8" t="n">
        <x:v>1</x:v>
      </x:c>
      <x:c r="C35" s="8" t="n">
        <x:v>30</x:v>
      </x:c>
      <x:c r="D35" s="8" t="n">
        <x:v>30</x:v>
      </x:c>
      <x:c r="E35" s="8" t="n">
        <x:v>100</x:v>
      </x:c>
      <x:c r="F35" s="8" t="n">
        <x:v>90</x:v>
      </x:c>
      <x:c r="G35" s="8" t="n">
        <x:v>5</x:v>
      </x:c>
      <x:c r="H35" s="8" t="n">
        <x:v>5</x:v>
      </x:c>
      <x:c r="I35" s="9" t="n">
        <x:f>F35/E35</x:f>
        <x:v>0.9</x:v>
      </x:c>
      <x:c r="J35" s="8" t="n">
        <x:v>6</x:v>
      </x:c>
      <x:c r="K35" s="8" t="n">
        <x:v>6</x:v>
      </x:c>
    </x:row>
    <x:row r="36" ht="23" customHeight="1">
      <x:c r="A36" s="8" t="n">
        <x:v>8</x:v>
      </x:c>
      <x:c r="B36" s="8" t="n">
        <x:v>2</x:v>
      </x:c>
      <x:c r="C36" s="8" t="n">
        <x:v>30</x:v>
      </x:c>
      <x:c r="D36" s="8" t="n">
        <x:v>30</x:v>
      </x:c>
      <x:c r="E36" s="8" t="n">
        <x:v>100</x:v>
      </x:c>
      <x:c r="F36" s="8" t="n">
        <x:v>94</x:v>
      </x:c>
      <x:c r="G36" s="8" t="n">
        <x:v>4</x:v>
      </x:c>
      <x:c r="H36" s="8" t="n">
        <x:v>2</x:v>
      </x:c>
      <x:c r="I36" s="9" t="n">
        <x:f>F36/E36</x:f>
        <x:v>0.94</x:v>
      </x:c>
      <x:c r="J36" s="8" t="n">
        <x:v>6</x:v>
      </x:c>
      <x:c r="K36" s="8" t="n">
        <x:v>6</x:v>
      </x:c>
    </x:row>
    <x:row r="37" ht="23" customHeight="1">
      <x:c r="A37" s="8" t="n">
        <x:v>8</x:v>
      </x:c>
      <x:c r="B37" s="8" t="n">
        <x:v>3</x:v>
      </x:c>
      <x:c r="C37" s="8" t="n">
        <x:v>30</x:v>
      </x:c>
      <x:c r="D37" s="8" t="n">
        <x:v>30</x:v>
      </x:c>
      <x:c r="E37" s="8" t="n">
        <x:v>100</x:v>
      </x:c>
      <x:c r="F37" s="8" t="n">
        <x:v>96</x:v>
      </x:c>
      <x:c r="G37" s="8" t="n">
        <x:v>2</x:v>
      </x:c>
      <x:c r="H37" s="8" t="n">
        <x:v>2</x:v>
      </x:c>
      <x:c r="I37" s="9" t="n">
        <x:f>F37/E37</x:f>
        <x:v>0.96</x:v>
      </x:c>
      <x:c r="J37" s="8" t="n">
        <x:v>6</x:v>
      </x:c>
      <x:c r="K37" s="8" t="n">
        <x:v>6</x:v>
      </x:c>
    </x:row>
    <x:row r="38" ht="23" customHeight="1">
      <x:c r="A38" s="8" t="n">
        <x:v>8</x:v>
      </x:c>
      <x:c r="B38" s="8" t="n">
        <x:v>4</x:v>
      </x:c>
      <x:c r="C38" s="8" t="n">
        <x:v>30</x:v>
      </x:c>
      <x:c r="D38" s="8" t="n">
        <x:v>30</x:v>
      </x:c>
      <x:c r="E38" s="8" t="n">
        <x:v>100</x:v>
      </x:c>
      <x:c r="F38" s="8" t="n">
        <x:v>92</x:v>
      </x:c>
      <x:c r="G38" s="8" t="n">
        <x:v>4</x:v>
      </x:c>
      <x:c r="H38" s="8" t="n">
        <x:v>4</x:v>
      </x:c>
      <x:c r="I38" s="9" t="n">
        <x:f>F38/E38</x:f>
        <x:v>0.92</x:v>
      </x:c>
      <x:c r="J38" s="8" t="n">
        <x:v>6</x:v>
      </x:c>
      <x:c r="K38" s="8" t="n">
        <x:v>6</x:v>
      </x:c>
    </x:row>
    <x:row r="39" ht="23" customHeight="1">
      <x:c r="A39" s="8" t="n">
        <x:v>8</x:v>
      </x:c>
      <x:c r="B39" s="8" t="n">
        <x:v>5</x:v>
      </x:c>
      <x:c r="C39" s="8" t="n">
        <x:v>30</x:v>
      </x:c>
      <x:c r="D39" s="8" t="n">
        <x:v>30</x:v>
      </x:c>
      <x:c r="E39" s="8" t="n">
        <x:v>100</x:v>
      </x:c>
      <x:c r="F39" s="8" t="n">
        <x:v>95</x:v>
      </x:c>
      <x:c r="G39" s="8" t="n">
        <x:v>2</x:v>
      </x:c>
      <x:c r="H39" s="8" t="n">
        <x:v>3</x:v>
      </x:c>
      <x:c r="I39" s="9" t="n">
        <x:f>F39/E39</x:f>
        <x:v>0.95</x:v>
      </x:c>
      <x:c r="J39" s="8" t="n">
        <x:v>6</x:v>
      </x:c>
      <x:c r="K39" s="8" t="n">
        <x:v>6</x:v>
      </x:c>
    </x:row>
    <x:row r="40" ht="23" customHeight="1">
      <x:c r="A40" s="8" t="n">
        <x:v>8</x:v>
      </x:c>
      <x:c r="B40" s="8" t="n">
        <x:v>1</x:v>
      </x:c>
      <x:c r="C40" s="8" t="n">
        <x:v>35</x:v>
      </x:c>
      <x:c r="D40" s="8" t="n">
        <x:v>35</x:v>
      </x:c>
      <x:c r="E40" s="8" t="n">
        <x:v>100</x:v>
      </x:c>
      <x:c r="F40" s="8" t="n">
        <x:v>85</x:v>
      </x:c>
      <x:c r="G40" s="8" t="n">
        <x:v>7</x:v>
      </x:c>
      <x:c r="H40" s="8" t="n">
        <x:v>8</x:v>
      </x:c>
      <x:c r="I40" s="9" t="n">
        <x:f>F40/E40</x:f>
        <x:v>0.85</x:v>
      </x:c>
      <x:c r="J40" s="8" t="n">
        <x:v>6</x:v>
      </x:c>
      <x:c r="K40" s="8" t="n">
        <x:v>6</x:v>
      </x:c>
    </x:row>
    <x:row r="41" ht="23" customHeight="1">
      <x:c r="A41" s="8" t="n">
        <x:v>8</x:v>
      </x:c>
      <x:c r="B41" s="8" t="n">
        <x:v>2</x:v>
      </x:c>
      <x:c r="C41" s="8" t="n">
        <x:v>35</x:v>
      </x:c>
      <x:c r="D41" s="8" t="n">
        <x:v>35</x:v>
      </x:c>
      <x:c r="E41" s="8" t="n">
        <x:v>100</x:v>
      </x:c>
      <x:c r="F41" s="8" t="n">
        <x:v>88</x:v>
      </x:c>
      <x:c r="G41" s="8" t="n">
        <x:v>5</x:v>
      </x:c>
      <x:c r="H41" s="8" t="n">
        <x:v>7</x:v>
      </x:c>
      <x:c r="I41" s="9" t="n">
        <x:f>F41/E41</x:f>
        <x:v>0.88</x:v>
      </x:c>
      <x:c r="J41" s="8" t="n">
        <x:v>6</x:v>
      </x:c>
      <x:c r="K41" s="8" t="n">
        <x:v>6</x:v>
      </x:c>
    </x:row>
    <x:row r="42" ht="23" customHeight="1">
      <x:c r="A42" s="8" t="n">
        <x:v>8</x:v>
      </x:c>
      <x:c r="B42" s="8" t="n">
        <x:v>3</x:v>
      </x:c>
      <x:c r="C42" s="8" t="n">
        <x:v>35</x:v>
      </x:c>
      <x:c r="D42" s="8" t="n">
        <x:v>35</x:v>
      </x:c>
      <x:c r="E42" s="8" t="n">
        <x:v>100</x:v>
      </x:c>
      <x:c r="F42" s="8" t="n">
        <x:v>88</x:v>
      </x:c>
      <x:c r="G42" s="8" t="n">
        <x:v>5</x:v>
      </x:c>
      <x:c r="H42" s="8" t="n">
        <x:v>7</x:v>
      </x:c>
      <x:c r="I42" s="9" t="n">
        <x:f>F42/E42</x:f>
        <x:v>0.88</x:v>
      </x:c>
      <x:c r="J42" s="8" t="n">
        <x:v>6</x:v>
      </x:c>
      <x:c r="K42" s="8" t="n">
        <x:v>6</x:v>
      </x:c>
    </x:row>
    <x:row r="43" ht="23" customHeight="1">
      <x:c r="A43" s="8" t="n">
        <x:v>8</x:v>
      </x:c>
      <x:c r="B43" s="8" t="n">
        <x:v>4</x:v>
      </x:c>
      <x:c r="C43" s="8" t="n">
        <x:v>35</x:v>
      </x:c>
      <x:c r="D43" s="8" t="n">
        <x:v>35</x:v>
      </x:c>
      <x:c r="E43" s="8" t="n">
        <x:v>100</x:v>
      </x:c>
      <x:c r="F43" s="8" t="n">
        <x:v>92</x:v>
      </x:c>
      <x:c r="G43" s="8" t="n">
        <x:v>5</x:v>
      </x:c>
      <x:c r="H43" s="8" t="n">
        <x:v>3</x:v>
      </x:c>
      <x:c r="I43" s="9" t="n">
        <x:f>F43/E43</x:f>
        <x:v>0.92</x:v>
      </x:c>
      <x:c r="J43" s="8" t="n">
        <x:v>6</x:v>
      </x:c>
      <x:c r="K43" s="8" t="n">
        <x:v>6</x:v>
      </x:c>
    </x:row>
    <x:row r="44" ht="23" customHeight="1">
      <x:c r="A44" s="8" t="n">
        <x:v>8</x:v>
      </x:c>
      <x:c r="B44" s="8" t="n">
        <x:v>5</x:v>
      </x:c>
      <x:c r="C44" s="8" t="n">
        <x:v>35</x:v>
      </x:c>
      <x:c r="D44" s="8" t="n">
        <x:v>35</x:v>
      </x:c>
      <x:c r="E44" s="8" t="n">
        <x:v>100</x:v>
      </x:c>
      <x:c r="F44" s="8" t="n">
        <x:v>90</x:v>
      </x:c>
      <x:c r="G44" s="8" t="n">
        <x:v>5</x:v>
      </x:c>
      <x:c r="H44" s="8" t="n">
        <x:v>5</x:v>
      </x:c>
      <x:c r="I44" s="9" t="n">
        <x:f>F44/E44</x:f>
        <x:v>0.9</x:v>
      </x:c>
      <x:c r="J44" s="8" t="n">
        <x:v>6</x:v>
      </x:c>
      <x:c r="K44" s="8" t="n">
        <x:v>6</x:v>
      </x:c>
    </x:row>
    <x:row r="45" ht="23" customHeight="1">
      <x:c r="A45" s="8" t="n">
        <x:v>9</x:v>
      </x:c>
      <x:c r="B45" s="8" t="n">
        <x:v>1</x:v>
      </x:c>
      <x:c r="C45" s="8" t="n">
        <x:v>30</x:v>
      </x:c>
      <x:c r="D45" s="8" t="n">
        <x:v>30</x:v>
      </x:c>
      <x:c r="E45" s="8" t="n">
        <x:v>100</x:v>
      </x:c>
      <x:c r="F45" s="8" t="n">
        <x:v>96</x:v>
      </x:c>
      <x:c r="G45" s="8" t="n">
        <x:v>2</x:v>
      </x:c>
      <x:c r="H45" s="8" t="n">
        <x:v>2</x:v>
      </x:c>
      <x:c r="I45" s="9" t="n">
        <x:f>F45/E45</x:f>
        <x:v>0.96</x:v>
      </x:c>
      <x:c r="J45" s="8" t="n">
        <x:v>6</x:v>
      </x:c>
      <x:c r="K45" s="8" t="n">
        <x:v>6</x:v>
      </x:c>
    </x:row>
    <x:row r="46" ht="23" customHeight="1">
      <x:c r="A46" s="8" t="n">
        <x:v>9</x:v>
      </x:c>
      <x:c r="B46" s="8" t="n">
        <x:v>2</x:v>
      </x:c>
      <x:c r="C46" s="8" t="n">
        <x:v>30</x:v>
      </x:c>
      <x:c r="D46" s="8" t="n">
        <x:v>30</x:v>
      </x:c>
      <x:c r="E46" s="8" t="n">
        <x:v>100</x:v>
      </x:c>
      <x:c r="F46" s="8" t="n">
        <x:v>99</x:v>
      </x:c>
      <x:c r="G46" s="8" t="n">
        <x:v>1</x:v>
      </x:c>
      <x:c r="H46" s="8" t="n">
        <x:v>0</x:v>
      </x:c>
      <x:c r="I46" s="9" t="n">
        <x:f>F46/E46</x:f>
        <x:v>0.99</x:v>
      </x:c>
      <x:c r="J46" s="8" t="n">
        <x:v>6</x:v>
      </x:c>
      <x:c r="K46" s="8" t="n">
        <x:v>6</x:v>
      </x:c>
    </x:row>
    <x:row r="47" ht="23" customHeight="1">
      <x:c r="A47" s="8" t="n">
        <x:v>9</x:v>
      </x:c>
      <x:c r="B47" s="8" t="n">
        <x:v>3</x:v>
      </x:c>
      <x:c r="C47" s="8" t="n">
        <x:v>30</x:v>
      </x:c>
      <x:c r="D47" s="8" t="n">
        <x:v>30</x:v>
      </x:c>
      <x:c r="E47" s="8" t="n">
        <x:v>100</x:v>
      </x:c>
      <x:c r="F47" s="8" t="n">
        <x:v>99</x:v>
      </x:c>
      <x:c r="G47" s="8" t="n">
        <x:v>1</x:v>
      </x:c>
      <x:c r="H47" s="8" t="n">
        <x:v>0</x:v>
      </x:c>
      <x:c r="I47" s="9" t="n">
        <x:f>F47/E47</x:f>
        <x:v>0.99</x:v>
      </x:c>
      <x:c r="J47" s="8" t="n">
        <x:v>6</x:v>
      </x:c>
      <x:c r="K47" s="8" t="n">
        <x:v>6</x:v>
      </x:c>
    </x:row>
    <x:row r="48" ht="23" customHeight="1">
      <x:c r="A48" s="8" t="n">
        <x:v>9</x:v>
      </x:c>
      <x:c r="B48" s="8" t="n">
        <x:v>4</x:v>
      </x:c>
      <x:c r="C48" s="8" t="n">
        <x:v>30</x:v>
      </x:c>
      <x:c r="D48" s="8" t="n">
        <x:v>30</x:v>
      </x:c>
      <x:c r="E48" s="8" t="n">
        <x:v>100</x:v>
      </x:c>
      <x:c r="F48" s="8" t="n">
        <x:v>95</x:v>
      </x:c>
      <x:c r="G48" s="8" t="n">
        <x:v>2</x:v>
      </x:c>
      <x:c r="H48" s="8" t="n">
        <x:v>3</x:v>
      </x:c>
      <x:c r="I48" s="9" t="n">
        <x:f>F48/E48</x:f>
        <x:v>0.95</x:v>
      </x:c>
      <x:c r="J48" s="8" t="n">
        <x:v>6</x:v>
      </x:c>
      <x:c r="K48" s="8" t="n">
        <x:v>6</x:v>
      </x:c>
    </x:row>
    <x:row r="49" ht="23" customHeight="1">
      <x:c r="A49" s="8" t="n">
        <x:v>9</x:v>
      </x:c>
      <x:c r="B49" s="8" t="n">
        <x:v>5</x:v>
      </x:c>
      <x:c r="C49" s="8" t="n">
        <x:v>30</x:v>
      </x:c>
      <x:c r="D49" s="8" t="n">
        <x:v>30</x:v>
      </x:c>
      <x:c r="E49" s="8" t="n">
        <x:v>100</x:v>
      </x:c>
      <x:c r="F49" s="8" t="n">
        <x:v>96</x:v>
      </x:c>
      <x:c r="G49" s="8" t="n">
        <x:v>2</x:v>
      </x:c>
      <x:c r="H49" s="8" t="n">
        <x:v>2</x:v>
      </x:c>
      <x:c r="I49" s="9" t="n">
        <x:f>F49/E49</x:f>
        <x:v>0.96</x:v>
      </x:c>
      <x:c r="J49" s="8" t="n">
        <x:v>6</x:v>
      </x:c>
      <x:c r="K49" s="8" t="n">
        <x:v>6</x:v>
      </x:c>
    </x:row>
    <x:row r="50" ht="23" customHeight="1">
      <x:c r="A50" s="8" t="n">
        <x:v>9</x:v>
      </x:c>
      <x:c r="B50" s="8" t="n">
        <x:v>1</x:v>
      </x:c>
      <x:c r="C50" s="8" t="n">
        <x:v>35</x:v>
      </x:c>
      <x:c r="D50" s="8" t="n">
        <x:v>35</x:v>
      </x:c>
      <x:c r="E50" s="8" t="n">
        <x:v>100</x:v>
      </x:c>
      <x:c r="F50" s="8" t="n">
        <x:v>94</x:v>
      </x:c>
      <x:c r="G50" s="8" t="n">
        <x:v>4</x:v>
      </x:c>
      <x:c r="H50" s="8" t="n">
        <x:v>2</x:v>
      </x:c>
      <x:c r="I50" s="9" t="n">
        <x:f>F50/E50</x:f>
        <x:v>0.94</x:v>
      </x:c>
      <x:c r="J50" s="8" t="n">
        <x:v>6</x:v>
      </x:c>
      <x:c r="K50" s="8" t="n">
        <x:v>6</x:v>
      </x:c>
    </x:row>
    <x:row r="51" ht="23" customHeight="1">
      <x:c r="A51" s="8" t="n">
        <x:v>9</x:v>
      </x:c>
      <x:c r="B51" s="8" t="n">
        <x:v>2</x:v>
      </x:c>
      <x:c r="C51" s="8" t="n">
        <x:v>35</x:v>
      </x:c>
      <x:c r="D51" s="8" t="n">
        <x:v>35</x:v>
      </x:c>
      <x:c r="E51" s="8" t="n">
        <x:v>100</x:v>
      </x:c>
      <x:c r="F51" s="8" t="n">
        <x:v>90</x:v>
      </x:c>
      <x:c r="G51" s="8" t="n">
        <x:v>5</x:v>
      </x:c>
      <x:c r="H51" s="8" t="n">
        <x:v>5</x:v>
      </x:c>
      <x:c r="I51" s="9" t="n">
        <x:f>F51/E51</x:f>
        <x:v>0.9</x:v>
      </x:c>
      <x:c r="J51" s="8" t="n">
        <x:v>6</x:v>
      </x:c>
      <x:c r="K51" s="8" t="n">
        <x:v>6</x:v>
      </x:c>
    </x:row>
    <x:row r="52" ht="23" customHeight="1">
      <x:c r="A52" s="8" t="n">
        <x:v>9</x:v>
      </x:c>
      <x:c r="B52" s="8" t="n">
        <x:v>3</x:v>
      </x:c>
      <x:c r="C52" s="8" t="n">
        <x:v>35</x:v>
      </x:c>
      <x:c r="D52" s="8" t="n">
        <x:v>35</x:v>
      </x:c>
      <x:c r="E52" s="8" t="n">
        <x:v>100</x:v>
      </x:c>
      <x:c r="F52" s="8" t="n">
        <x:v>92</x:v>
      </x:c>
      <x:c r="G52" s="8" t="n">
        <x:v>4</x:v>
      </x:c>
      <x:c r="H52" s="8" t="n">
        <x:v>4</x:v>
      </x:c>
      <x:c r="I52" s="9" t="n">
        <x:f>F52/E52</x:f>
        <x:v>0.92</x:v>
      </x:c>
      <x:c r="J52" s="8" t="n">
        <x:v>6</x:v>
      </x:c>
      <x:c r="K52" s="8" t="n">
        <x:v>6</x:v>
      </x:c>
    </x:row>
    <x:row r="53" ht="23" customHeight="1">
      <x:c r="A53" s="8" t="n">
        <x:v>9</x:v>
      </x:c>
      <x:c r="B53" s="8" t="n">
        <x:v>4</x:v>
      </x:c>
      <x:c r="C53" s="8" t="n">
        <x:v>35</x:v>
      </x:c>
      <x:c r="D53" s="8" t="n">
        <x:v>35</x:v>
      </x:c>
      <x:c r="E53" s="8" t="n">
        <x:v>100</x:v>
      </x:c>
      <x:c r="F53" s="8" t="n">
        <x:v>97</x:v>
      </x:c>
      <x:c r="G53" s="8" t="n">
        <x:v>2</x:v>
      </x:c>
      <x:c r="H53" s="8" t="n">
        <x:v>1</x:v>
      </x:c>
      <x:c r="I53" s="9" t="n">
        <x:f>F53/E53</x:f>
        <x:v>0.97</x:v>
      </x:c>
      <x:c r="J53" s="8" t="n">
        <x:v>6</x:v>
      </x:c>
      <x:c r="K53" s="8" t="n">
        <x:v>6</x:v>
      </x:c>
    </x:row>
    <x:row r="54" ht="23" customHeight="1">
      <x:c r="A54" s="8" t="n">
        <x:v>9</x:v>
      </x:c>
      <x:c r="B54" s="8" t="n">
        <x:v>5</x:v>
      </x:c>
      <x:c r="C54" s="8" t="n">
        <x:v>35</x:v>
      </x:c>
      <x:c r="D54" s="8" t="n">
        <x:v>35</x:v>
      </x:c>
      <x:c r="E54" s="8" t="n">
        <x:v>100</x:v>
      </x:c>
      <x:c r="F54" s="8" t="n">
        <x:v>87</x:v>
      </x:c>
      <x:c r="G54" s="8" t="n">
        <x:v>8</x:v>
      </x:c>
      <x:c r="H54" s="8" t="n">
        <x:v>5</x:v>
      </x:c>
      <x:c r="I54" s="9" t="n">
        <x:f>F54/E54</x:f>
        <x:v>0.87</x:v>
      </x:c>
      <x:c r="J54" s="8" t="n">
        <x:v>6</x:v>
      </x:c>
      <x:c r="K54" s="8" t="n">
        <x:v>6</x:v>
      </x:c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</x:sheetData>
  <x:pageMargins left="0.7" right="0.7" top="0.75" bottom="0.75" header="0.3" footer="0.3"/>
  <x:tableParts count="1">
    <x:tablePart xmlns:r="http://schemas.openxmlformats.org/officeDocument/2006/relationships" r:id="R8a43e329ebf74679"/>
  </x:tableParts>
</x:worksheet>
</file>